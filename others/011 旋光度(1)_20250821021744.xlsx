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enoc\Desktop\2025ポスター\"/>
    </mc:Choice>
  </mc:AlternateContent>
  <xr:revisionPtr revIDLastSave="0" documentId="13_ncr:1_{1B2A2C88-ADE9-41D8-A7BB-B549EA31CCF8}" xr6:coauthVersionLast="47" xr6:coauthVersionMax="47" xr10:uidLastSave="{00000000-0000-0000-0000-000000000000}"/>
  <bookViews>
    <workbookView xWindow="-120" yWindow="-120" windowWidth="29040" windowHeight="15840" activeTab="1" xr2:uid="{F9D5BBD3-5E1D-4682-A3DE-09EF2B70B749}"/>
  </bookViews>
  <sheets>
    <sheet name="temp" sheetId="13" r:id="rId1"/>
    <sheet name="0820" sheetId="14" r:id="rId2"/>
    <sheet name="0807" sheetId="7" r:id="rId3"/>
    <sheet name="0807培養試験管" sheetId="2" r:id="rId4"/>
  </sheets>
  <definedNames>
    <definedName name="solver_adj" localSheetId="2" hidden="1">'0807'!#REF!</definedName>
    <definedName name="solver_adj" localSheetId="3" hidden="1">'0807培養試験管'!$P$32:$S$32</definedName>
    <definedName name="solver_adj" localSheetId="1" hidden="1">'0820'!#REF!</definedName>
    <definedName name="solver_adj" localSheetId="0" hidden="1">temp!#REF!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cvg" localSheetId="0" hidden="1">0.0001</definedName>
    <definedName name="solver_drv" localSheetId="2" hidden="1">1</definedName>
    <definedName name="solver_drv" localSheetId="3" hidden="1">1</definedName>
    <definedName name="solver_drv" localSheetId="1" hidden="1">1</definedName>
    <definedName name="solver_drv" localSheetId="0" hidden="1">1</definedName>
    <definedName name="solver_eng" localSheetId="2" hidden="1">1</definedName>
    <definedName name="solver_eng" localSheetId="3" hidden="1">1</definedName>
    <definedName name="solver_eng" localSheetId="1" hidden="1">1</definedName>
    <definedName name="solver_eng" localSheetId="0" hidden="1">1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est" localSheetId="0" hidden="1">1</definedName>
    <definedName name="solver_itr" localSheetId="2" hidden="1">100000000</definedName>
    <definedName name="solver_itr" localSheetId="3" hidden="1">100000000</definedName>
    <definedName name="solver_itr" localSheetId="1" hidden="1">100000000</definedName>
    <definedName name="solver_itr" localSheetId="0" hidden="1">100000000</definedName>
    <definedName name="solver_mip" localSheetId="2" hidden="1">100000000</definedName>
    <definedName name="solver_mip" localSheetId="3" hidden="1">100000000</definedName>
    <definedName name="solver_mip" localSheetId="1" hidden="1">100000000</definedName>
    <definedName name="solver_mip" localSheetId="0" hidden="1">100000000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ni" localSheetId="0" hidden="1">30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rt" localSheetId="0" hidden="1">0.075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msl" localSheetId="0" hidden="1">2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eg" localSheetId="0" hidden="1">1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od" localSheetId="0" hidden="1">2147483647</definedName>
    <definedName name="solver_num" localSheetId="2" hidden="1">0</definedName>
    <definedName name="solver_num" localSheetId="3" hidden="1">0</definedName>
    <definedName name="solver_num" localSheetId="1" hidden="1">0</definedName>
    <definedName name="solver_num" localSheetId="0" hidden="1">0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nwt" localSheetId="0" hidden="1">1</definedName>
    <definedName name="solver_opt" localSheetId="2" hidden="1">'0807'!#REF!</definedName>
    <definedName name="solver_opt" localSheetId="3" hidden="1">'0807培養試験管'!$Q$35</definedName>
    <definedName name="solver_opt" localSheetId="1" hidden="1">'0820'!#REF!</definedName>
    <definedName name="solver_opt" localSheetId="0" hidden="1">temp!#REF!</definedName>
    <definedName name="solver_pre" localSheetId="2" hidden="1">0.0001</definedName>
    <definedName name="solver_pre" localSheetId="3" hidden="1">0.0001</definedName>
    <definedName name="solver_pre" localSheetId="1" hidden="1">0.0001</definedName>
    <definedName name="solver_pre" localSheetId="0" hidden="1">0.0001</definedName>
    <definedName name="solver_rbv" localSheetId="2" hidden="1">2</definedName>
    <definedName name="solver_rbv" localSheetId="3" hidden="1">2</definedName>
    <definedName name="solver_rbv" localSheetId="1" hidden="1">2</definedName>
    <definedName name="solver_rbv" localSheetId="0" hidden="1">2</definedName>
    <definedName name="solver_rlx" localSheetId="2" hidden="1">1</definedName>
    <definedName name="solver_rlx" localSheetId="3" hidden="1">1</definedName>
    <definedName name="solver_rlx" localSheetId="1" hidden="1">1</definedName>
    <definedName name="solver_rlx" localSheetId="0" hidden="1">1</definedName>
    <definedName name="solver_rsd" localSheetId="2" hidden="1">200</definedName>
    <definedName name="solver_rsd" localSheetId="3" hidden="1">200</definedName>
    <definedName name="solver_rsd" localSheetId="1" hidden="1">200</definedName>
    <definedName name="solver_rsd" localSheetId="0" hidden="1">200</definedName>
    <definedName name="solver_scl" localSheetId="2" hidden="1">1</definedName>
    <definedName name="solver_scl" localSheetId="3" hidden="1">1</definedName>
    <definedName name="solver_scl" localSheetId="1" hidden="1">1</definedName>
    <definedName name="solver_scl" localSheetId="0" hidden="1">1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ho" localSheetId="0" hidden="1">2</definedName>
    <definedName name="solver_ssz" localSheetId="2" hidden="1">100000</definedName>
    <definedName name="solver_ssz" localSheetId="3" hidden="1">100000</definedName>
    <definedName name="solver_ssz" localSheetId="1" hidden="1">100000</definedName>
    <definedName name="solver_ssz" localSheetId="0" hidden="1">100000</definedName>
    <definedName name="solver_tim" localSheetId="2" hidden="1">1000000</definedName>
    <definedName name="solver_tim" localSheetId="3" hidden="1">1000000</definedName>
    <definedName name="solver_tim" localSheetId="1" hidden="1">1000000</definedName>
    <definedName name="solver_tim" localSheetId="0" hidden="1">1000000</definedName>
    <definedName name="solver_tol" localSheetId="2" hidden="1">0.000001</definedName>
    <definedName name="solver_tol" localSheetId="3" hidden="1">0.000001</definedName>
    <definedName name="solver_tol" localSheetId="1" hidden="1">0.000001</definedName>
    <definedName name="solver_tol" localSheetId="0" hidden="1">0.000001</definedName>
    <definedName name="solver_typ" localSheetId="2" hidden="1">2</definedName>
    <definedName name="solver_typ" localSheetId="3" hidden="1">2</definedName>
    <definedName name="solver_typ" localSheetId="1" hidden="1">2</definedName>
    <definedName name="solver_typ" localSheetId="0" hidden="1">2</definedName>
    <definedName name="solver_val" localSheetId="2" hidden="1">300</definedName>
    <definedName name="solver_val" localSheetId="3" hidden="1">300</definedName>
    <definedName name="solver_val" localSheetId="1" hidden="1">300</definedName>
    <definedName name="solver_val" localSheetId="0" hidden="1">300</definedName>
    <definedName name="solver_ver" localSheetId="2" hidden="1">3</definedName>
    <definedName name="solver_ver" localSheetId="3" hidden="1">3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4" l="1" a="1"/>
  <c r="B63" i="14" s="1"/>
  <c r="F74" i="14" l="1" a="1"/>
  <c r="F74" i="14" s="1"/>
  <c r="F75" i="14" a="1"/>
  <c r="F75" i="14" s="1"/>
  <c r="F76" i="14" a="1"/>
  <c r="F76" i="14"/>
  <c r="F77" i="14" a="1"/>
  <c r="F77" i="14"/>
  <c r="F78" i="14" a="1"/>
  <c r="F78" i="14" s="1"/>
  <c r="F79" i="14" a="1"/>
  <c r="F79" i="14" s="1"/>
  <c r="F71" i="14" a="1"/>
  <c r="F71" i="14"/>
  <c r="A125" i="14"/>
  <c r="C125" i="14" s="1"/>
  <c r="A124" i="14"/>
  <c r="D124" i="14" s="1"/>
  <c r="A123" i="14"/>
  <c r="F123" i="14" s="1"/>
  <c r="A122" i="14"/>
  <c r="C122" i="14" s="1"/>
  <c r="A121" i="14"/>
  <c r="C121" i="14" s="1"/>
  <c r="A120" i="14"/>
  <c r="B120" i="14" s="1"/>
  <c r="A119" i="14"/>
  <c r="C119" i="14" s="1"/>
  <c r="A118" i="14"/>
  <c r="D118" i="14" s="1"/>
  <c r="A117" i="14"/>
  <c r="B117" i="14" s="1"/>
  <c r="A116" i="14"/>
  <c r="E116" i="14" s="1"/>
  <c r="A115" i="14"/>
  <c r="D115" i="14" s="1"/>
  <c r="A114" i="14"/>
  <c r="F114" i="14" s="1"/>
  <c r="A113" i="14"/>
  <c r="F113" i="14" s="1"/>
  <c r="A112" i="14"/>
  <c r="F112" i="14" s="1"/>
  <c r="A111" i="14"/>
  <c r="C111" i="14" s="1"/>
  <c r="A110" i="14"/>
  <c r="B110" i="14" s="1"/>
  <c r="A109" i="14"/>
  <c r="F109" i="14" s="1"/>
  <c r="A108" i="14"/>
  <c r="E108" i="14" s="1"/>
  <c r="A107" i="14"/>
  <c r="E107" i="14" s="1"/>
  <c r="A106" i="14"/>
  <c r="E106" i="14" s="1"/>
  <c r="A105" i="14"/>
  <c r="D105" i="14" s="1"/>
  <c r="A104" i="14"/>
  <c r="F104" i="14" s="1"/>
  <c r="A103" i="14"/>
  <c r="E103" i="14" s="1"/>
  <c r="A102" i="14"/>
  <c r="F102" i="14" s="1"/>
  <c r="A101" i="14"/>
  <c r="C101" i="14" s="1"/>
  <c r="A100" i="14"/>
  <c r="E100" i="14" s="1"/>
  <c r="A99" i="14"/>
  <c r="D99" i="14" s="1"/>
  <c r="A98" i="14"/>
  <c r="D98" i="14" s="1"/>
  <c r="A97" i="14"/>
  <c r="F97" i="14" s="1"/>
  <c r="A96" i="14"/>
  <c r="F96" i="14" s="1"/>
  <c r="A95" i="14"/>
  <c r="E95" i="14" s="1"/>
  <c r="A94" i="14"/>
  <c r="D94" i="14" s="1"/>
  <c r="A93" i="14"/>
  <c r="B93" i="14" s="1"/>
  <c r="A92" i="14"/>
  <c r="B92" i="14" s="1"/>
  <c r="A91" i="14"/>
  <c r="D91" i="14" s="1"/>
  <c r="A90" i="14"/>
  <c r="F90" i="14" s="1"/>
  <c r="A89" i="14"/>
  <c r="F89" i="14" s="1"/>
  <c r="N87" i="14" a="1"/>
  <c r="N87" i="14" s="1"/>
  <c r="M87" i="14" a="1"/>
  <c r="M87" i="14" s="1"/>
  <c r="L87" i="14" a="1"/>
  <c r="L87" i="14" s="1"/>
  <c r="K87" i="14" a="1"/>
  <c r="K87" i="14" s="1"/>
  <c r="J87" i="14" a="1"/>
  <c r="J87" i="14" s="1"/>
  <c r="I87" i="14" a="1"/>
  <c r="I87" i="14" s="1"/>
  <c r="H87" i="14" a="1"/>
  <c r="H87" i="14" s="1"/>
  <c r="G87" i="14" a="1"/>
  <c r="G87" i="14" s="1"/>
  <c r="N86" i="14"/>
  <c r="M86" i="14"/>
  <c r="L86" i="14"/>
  <c r="K86" i="14"/>
  <c r="J86" i="14"/>
  <c r="I86" i="14"/>
  <c r="H86" i="14"/>
  <c r="G86" i="14"/>
  <c r="N85" i="14"/>
  <c r="M85" i="14"/>
  <c r="L85" i="14"/>
  <c r="K85" i="14"/>
  <c r="J85" i="14"/>
  <c r="I85" i="14"/>
  <c r="H85" i="14"/>
  <c r="G85" i="14"/>
  <c r="N84" i="14" a="1"/>
  <c r="N84" i="14" s="1"/>
  <c r="M84" i="14" a="1"/>
  <c r="M84" i="14" s="1"/>
  <c r="L84" i="14" a="1"/>
  <c r="L84" i="14" s="1"/>
  <c r="K84" i="14" a="1"/>
  <c r="K84" i="14" s="1"/>
  <c r="J84" i="14" a="1"/>
  <c r="J84" i="14" s="1"/>
  <c r="I84" i="14" a="1"/>
  <c r="I84" i="14" s="1"/>
  <c r="H84" i="14" a="1"/>
  <c r="H84" i="14" s="1"/>
  <c r="G84" i="14" a="1"/>
  <c r="G84" i="14" s="1"/>
  <c r="N83" i="14" a="1"/>
  <c r="N83" i="14" s="1"/>
  <c r="M83" i="14" a="1"/>
  <c r="M83" i="14" s="1"/>
  <c r="L83" i="14" a="1"/>
  <c r="L83" i="14" s="1"/>
  <c r="K83" i="14" a="1"/>
  <c r="K83" i="14" s="1"/>
  <c r="J83" i="14" a="1"/>
  <c r="J83" i="14" s="1"/>
  <c r="I83" i="14" a="1"/>
  <c r="I83" i="14" s="1"/>
  <c r="H83" i="14" a="1"/>
  <c r="H83" i="14" s="1"/>
  <c r="G83" i="14" a="1"/>
  <c r="G83" i="14" s="1"/>
  <c r="N82" i="14" a="1"/>
  <c r="N82" i="14" s="1"/>
  <c r="M82" i="14" a="1"/>
  <c r="M82" i="14" s="1"/>
  <c r="L82" i="14" a="1"/>
  <c r="L82" i="14" s="1"/>
  <c r="K82" i="14" a="1"/>
  <c r="K82" i="14" s="1"/>
  <c r="J82" i="14" a="1"/>
  <c r="J82" i="14" s="1"/>
  <c r="I82" i="14" a="1"/>
  <c r="I82" i="14" s="1"/>
  <c r="H82" i="14" a="1"/>
  <c r="H82" i="14" s="1"/>
  <c r="G82" i="14" a="1"/>
  <c r="G82" i="14" s="1"/>
  <c r="N79" i="14" a="1"/>
  <c r="N79" i="14"/>
  <c r="N125" i="14"/>
  <c r="M79" i="14" a="1"/>
  <c r="M79" i="14"/>
  <c r="M125" i="14"/>
  <c r="L79" i="14" a="1"/>
  <c r="L79" i="14"/>
  <c r="L125" i="14"/>
  <c r="K79" i="14" a="1"/>
  <c r="K79" i="14"/>
  <c r="K125" i="14"/>
  <c r="J79" i="14" a="1"/>
  <c r="J79" i="14"/>
  <c r="J125" i="14"/>
  <c r="I79" i="14" a="1"/>
  <c r="I79" i="14"/>
  <c r="I125" i="14"/>
  <c r="H79" i="14" a="1"/>
  <c r="H79" i="14"/>
  <c r="H125" i="14"/>
  <c r="G79" i="14" a="1"/>
  <c r="G79" i="14"/>
  <c r="G125" i="14"/>
  <c r="E79" i="14" a="1"/>
  <c r="E79" i="14"/>
  <c r="D79" i="14" a="1"/>
  <c r="D79" i="14"/>
  <c r="C79" i="14" a="1"/>
  <c r="C79" i="14"/>
  <c r="B79" i="14" a="1"/>
  <c r="B79" i="14"/>
  <c r="N78" i="14" a="1"/>
  <c r="N78" i="14"/>
  <c r="N124" i="14"/>
  <c r="M78" i="14" a="1"/>
  <c r="M78" i="14"/>
  <c r="M124" i="14"/>
  <c r="L78" i="14" a="1"/>
  <c r="L78" i="14"/>
  <c r="L124" i="14"/>
  <c r="K78" i="14" a="1"/>
  <c r="K78" i="14"/>
  <c r="K124" i="14"/>
  <c r="J78" i="14" a="1"/>
  <c r="J78" i="14"/>
  <c r="J124" i="14"/>
  <c r="I78" i="14" a="1"/>
  <c r="I78" i="14"/>
  <c r="I124" i="14"/>
  <c r="H78" i="14" a="1"/>
  <c r="H78" i="14"/>
  <c r="H124" i="14"/>
  <c r="G78" i="14" a="1"/>
  <c r="G78" i="14"/>
  <c r="G124" i="14"/>
  <c r="E78" i="14" a="1"/>
  <c r="E78" i="14"/>
  <c r="D78" i="14" a="1"/>
  <c r="D78" i="14"/>
  <c r="C78" i="14" a="1"/>
  <c r="C78" i="14"/>
  <c r="B78" i="14" a="1"/>
  <c r="B78" i="14"/>
  <c r="N77" i="14" a="1"/>
  <c r="N77" i="14"/>
  <c r="N123" i="14"/>
  <c r="M77" i="14" a="1"/>
  <c r="M77" i="14"/>
  <c r="M123" i="14"/>
  <c r="L77" i="14" a="1"/>
  <c r="L77" i="14"/>
  <c r="L123" i="14"/>
  <c r="K77" i="14" a="1"/>
  <c r="K77" i="14"/>
  <c r="K123" i="14"/>
  <c r="J77" i="14" a="1"/>
  <c r="J77" i="14"/>
  <c r="J123" i="14"/>
  <c r="I77" i="14" a="1"/>
  <c r="I77" i="14"/>
  <c r="I123" i="14"/>
  <c r="H77" i="14" a="1"/>
  <c r="H77" i="14"/>
  <c r="H123" i="14"/>
  <c r="G77" i="14" a="1"/>
  <c r="G77" i="14"/>
  <c r="G123" i="14"/>
  <c r="E77" i="14" a="1"/>
  <c r="E77" i="14"/>
  <c r="D77" i="14" a="1"/>
  <c r="D77" i="14"/>
  <c r="C77" i="14" a="1"/>
  <c r="C77" i="14"/>
  <c r="B77" i="14" a="1"/>
  <c r="B77" i="14"/>
  <c r="N76" i="14" a="1"/>
  <c r="N76" i="14"/>
  <c r="N122" i="14"/>
  <c r="M76" i="14" a="1"/>
  <c r="M76" i="14"/>
  <c r="M122" i="14"/>
  <c r="L76" i="14" a="1"/>
  <c r="L76" i="14"/>
  <c r="L122" i="14"/>
  <c r="K76" i="14" a="1"/>
  <c r="K76" i="14"/>
  <c r="K122" i="14"/>
  <c r="J76" i="14" a="1"/>
  <c r="J76" i="14"/>
  <c r="J122" i="14"/>
  <c r="I76" i="14" a="1"/>
  <c r="I76" i="14"/>
  <c r="I122" i="14"/>
  <c r="H76" i="14" a="1"/>
  <c r="H76" i="14"/>
  <c r="H122" i="14"/>
  <c r="G76" i="14" a="1"/>
  <c r="G76" i="14"/>
  <c r="G122" i="14"/>
  <c r="E76" i="14" a="1"/>
  <c r="E76" i="14"/>
  <c r="D76" i="14" a="1"/>
  <c r="D76" i="14"/>
  <c r="C76" i="14" a="1"/>
  <c r="C76" i="14"/>
  <c r="B76" i="14" a="1"/>
  <c r="B76" i="14"/>
  <c r="N75" i="14" a="1"/>
  <c r="N75" i="14"/>
  <c r="N121" i="14"/>
  <c r="M75" i="14" a="1"/>
  <c r="M75" i="14"/>
  <c r="M121" i="14"/>
  <c r="L75" i="14" a="1"/>
  <c r="L75" i="14"/>
  <c r="L121" i="14"/>
  <c r="K75" i="14" a="1"/>
  <c r="K75" i="14"/>
  <c r="K121" i="14"/>
  <c r="J75" i="14" a="1"/>
  <c r="J75" i="14"/>
  <c r="J121" i="14"/>
  <c r="I75" i="14" a="1"/>
  <c r="I75" i="14"/>
  <c r="I121" i="14"/>
  <c r="H75" i="14" a="1"/>
  <c r="H75" i="14"/>
  <c r="H121" i="14"/>
  <c r="G75" i="14" a="1"/>
  <c r="G75" i="14"/>
  <c r="G121" i="14"/>
  <c r="E75" i="14" a="1"/>
  <c r="E75" i="14"/>
  <c r="D75" i="14" a="1"/>
  <c r="D75" i="14"/>
  <c r="C75" i="14" a="1"/>
  <c r="C75" i="14"/>
  <c r="B75" i="14" a="1"/>
  <c r="B75" i="14"/>
  <c r="N74" i="14" a="1"/>
  <c r="N74" i="14"/>
  <c r="N120" i="14"/>
  <c r="M74" i="14" a="1"/>
  <c r="M74" i="14"/>
  <c r="M120" i="14"/>
  <c r="L74" i="14" a="1"/>
  <c r="L74" i="14"/>
  <c r="L120" i="14"/>
  <c r="K74" i="14" a="1"/>
  <c r="K74" i="14"/>
  <c r="K120" i="14"/>
  <c r="J74" i="14" a="1"/>
  <c r="J74" i="14"/>
  <c r="J120" i="14"/>
  <c r="I74" i="14" a="1"/>
  <c r="I74" i="14"/>
  <c r="I120" i="14"/>
  <c r="H74" i="14" a="1"/>
  <c r="H74" i="14"/>
  <c r="H120" i="14"/>
  <c r="G74" i="14" a="1"/>
  <c r="G74" i="14"/>
  <c r="G120" i="14"/>
  <c r="E74" i="14" a="1"/>
  <c r="E74" i="14"/>
  <c r="D74" i="14" a="1"/>
  <c r="D74" i="14"/>
  <c r="C74" i="14" a="1"/>
  <c r="C74" i="14"/>
  <c r="B74" i="14" a="1"/>
  <c r="B74" i="14"/>
  <c r="N73" i="14" a="1"/>
  <c r="N73" i="14"/>
  <c r="N119" i="14"/>
  <c r="M73" i="14" a="1"/>
  <c r="M73" i="14"/>
  <c r="M119" i="14"/>
  <c r="L73" i="14" a="1"/>
  <c r="L73" i="14"/>
  <c r="L119" i="14"/>
  <c r="K73" i="14" a="1"/>
  <c r="K73" i="14"/>
  <c r="K119" i="14"/>
  <c r="J73" i="14" a="1"/>
  <c r="J73" i="14"/>
  <c r="J119" i="14"/>
  <c r="I73" i="14" a="1"/>
  <c r="I73" i="14"/>
  <c r="I119" i="14"/>
  <c r="H73" i="14" a="1"/>
  <c r="H73" i="14"/>
  <c r="H119" i="14"/>
  <c r="G73" i="14" a="1"/>
  <c r="G73" i="14"/>
  <c r="G119" i="14"/>
  <c r="F73" i="14" a="1"/>
  <c r="F73" i="14"/>
  <c r="E73" i="14"/>
  <c r="E73" i="14" a="1"/>
  <c r="D73" i="14" a="1"/>
  <c r="D73" i="14"/>
  <c r="C73" i="14" a="1"/>
  <c r="C73" i="14"/>
  <c r="B73" i="14" a="1"/>
  <c r="B73" i="14"/>
  <c r="N72" i="14" a="1"/>
  <c r="N72" i="14"/>
  <c r="N118" i="14"/>
  <c r="M72" i="14" a="1"/>
  <c r="M72" i="14"/>
  <c r="M118" i="14"/>
  <c r="L72" i="14" a="1"/>
  <c r="L72" i="14"/>
  <c r="L118" i="14"/>
  <c r="K72" i="14" a="1"/>
  <c r="K72" i="14"/>
  <c r="K118" i="14"/>
  <c r="J72" i="14" a="1"/>
  <c r="J72" i="14"/>
  <c r="J118" i="14"/>
  <c r="I72" i="14" a="1"/>
  <c r="I72" i="14"/>
  <c r="I118" i="14"/>
  <c r="H72" i="14" a="1"/>
  <c r="H72" i="14"/>
  <c r="H118" i="14"/>
  <c r="G72" i="14" a="1"/>
  <c r="G72" i="14"/>
  <c r="G118" i="14"/>
  <c r="F72" i="14" a="1"/>
  <c r="F72" i="14"/>
  <c r="F118" i="14"/>
  <c r="E72" i="14" a="1"/>
  <c r="E72" i="14"/>
  <c r="D72" i="14" a="1"/>
  <c r="D72" i="14"/>
  <c r="C72" i="14" a="1"/>
  <c r="C72" i="14"/>
  <c r="B72" i="14" a="1"/>
  <c r="B72" i="14"/>
  <c r="B118" i="14"/>
  <c r="N71" i="14" a="1"/>
  <c r="N71" i="14"/>
  <c r="N117" i="14"/>
  <c r="M71" i="14" a="1"/>
  <c r="M71" i="14"/>
  <c r="M117" i="14"/>
  <c r="L71" i="14" a="1"/>
  <c r="L71" i="14"/>
  <c r="L117" i="14"/>
  <c r="K71" i="14" a="1"/>
  <c r="K71" i="14"/>
  <c r="K117" i="14"/>
  <c r="J71" i="14" a="1"/>
  <c r="J71" i="14"/>
  <c r="J117" i="14"/>
  <c r="I71" i="14" a="1"/>
  <c r="I71" i="14"/>
  <c r="I117" i="14"/>
  <c r="H71" i="14" a="1"/>
  <c r="H71" i="14"/>
  <c r="H117" i="14"/>
  <c r="G71" i="14" a="1"/>
  <c r="G71" i="14"/>
  <c r="G117" i="14"/>
  <c r="E71" i="14" a="1"/>
  <c r="E71" i="14"/>
  <c r="E117" i="14"/>
  <c r="D71" i="14" a="1"/>
  <c r="D71" i="14"/>
  <c r="C71" i="14" a="1"/>
  <c r="C71" i="14"/>
  <c r="B71" i="14" a="1"/>
  <c r="B71" i="14"/>
  <c r="N70" i="14" a="1"/>
  <c r="N70" i="14"/>
  <c r="N116" i="14"/>
  <c r="M70" i="14" a="1"/>
  <c r="M70" i="14"/>
  <c r="M116" i="14"/>
  <c r="L70" i="14" a="1"/>
  <c r="L70" i="14"/>
  <c r="L116" i="14"/>
  <c r="K70" i="14" a="1"/>
  <c r="K70" i="14"/>
  <c r="K116" i="14"/>
  <c r="J70" i="14" a="1"/>
  <c r="J70" i="14"/>
  <c r="J116" i="14"/>
  <c r="I70" i="14" a="1"/>
  <c r="I70" i="14"/>
  <c r="I116" i="14"/>
  <c r="H70" i="14" a="1"/>
  <c r="H70" i="14"/>
  <c r="H116" i="14"/>
  <c r="G70" i="14" a="1"/>
  <c r="G70" i="14"/>
  <c r="G116" i="14"/>
  <c r="F70" i="14" a="1"/>
  <c r="F70" i="14"/>
  <c r="E70" i="14" a="1"/>
  <c r="E70" i="14"/>
  <c r="D70" i="14" a="1"/>
  <c r="D70" i="14"/>
  <c r="C70" i="14" a="1"/>
  <c r="C70" i="14"/>
  <c r="B70" i="14" a="1"/>
  <c r="B70" i="14"/>
  <c r="N69" i="14" a="1"/>
  <c r="N69" i="14"/>
  <c r="N115" i="14"/>
  <c r="M69" i="14" a="1"/>
  <c r="M69" i="14"/>
  <c r="M115" i="14"/>
  <c r="L69" i="14" a="1"/>
  <c r="L69" i="14"/>
  <c r="L115" i="14"/>
  <c r="K69" i="14" a="1"/>
  <c r="K69" i="14"/>
  <c r="K115" i="14"/>
  <c r="J69" i="14" a="1"/>
  <c r="J69" i="14"/>
  <c r="J115" i="14"/>
  <c r="I69" i="14"/>
  <c r="I115" i="14"/>
  <c r="I69" i="14" a="1"/>
  <c r="H69" i="14" a="1"/>
  <c r="H69" i="14"/>
  <c r="H115" i="14"/>
  <c r="G69" i="14" a="1"/>
  <c r="G69" i="14"/>
  <c r="G115" i="14"/>
  <c r="F69" i="14" a="1"/>
  <c r="F69" i="14"/>
  <c r="E69" i="14" a="1"/>
  <c r="E69" i="14"/>
  <c r="D69" i="14" a="1"/>
  <c r="D69" i="14"/>
  <c r="C69" i="14" a="1"/>
  <c r="C69" i="14"/>
  <c r="B69" i="14" a="1"/>
  <c r="B69" i="14"/>
  <c r="N68" i="14" a="1"/>
  <c r="N68" i="14"/>
  <c r="N114" i="14"/>
  <c r="M68" i="14" a="1"/>
  <c r="M68" i="14"/>
  <c r="M114" i="14"/>
  <c r="L68" i="14" a="1"/>
  <c r="L68" i="14"/>
  <c r="L114" i="14"/>
  <c r="K68" i="14" a="1"/>
  <c r="K68" i="14"/>
  <c r="K114" i="14"/>
  <c r="J68" i="14" a="1"/>
  <c r="J68" i="14"/>
  <c r="J114" i="14"/>
  <c r="I68" i="14" a="1"/>
  <c r="I68" i="14"/>
  <c r="I114" i="14"/>
  <c r="H68" i="14" a="1"/>
  <c r="H68" i="14"/>
  <c r="H114" i="14"/>
  <c r="G68" i="14" a="1"/>
  <c r="G68" i="14"/>
  <c r="G114" i="14"/>
  <c r="F68" i="14" a="1"/>
  <c r="F68" i="14"/>
  <c r="E68" i="14" a="1"/>
  <c r="E68" i="14"/>
  <c r="D68" i="14" a="1"/>
  <c r="D68" i="14"/>
  <c r="C68" i="14" a="1"/>
  <c r="C68" i="14"/>
  <c r="B68" i="14" a="1"/>
  <c r="B68" i="14"/>
  <c r="N67" i="14" a="1"/>
  <c r="N67" i="14"/>
  <c r="N113" i="14"/>
  <c r="M67" i="14" a="1"/>
  <c r="M67" i="14"/>
  <c r="M113" i="14"/>
  <c r="L67" i="14" a="1"/>
  <c r="L67" i="14"/>
  <c r="L113" i="14"/>
  <c r="K67" i="14" a="1"/>
  <c r="K67" i="14"/>
  <c r="K113" i="14"/>
  <c r="J67" i="14" a="1"/>
  <c r="J67" i="14"/>
  <c r="J113" i="14"/>
  <c r="I67" i="14" a="1"/>
  <c r="I67" i="14"/>
  <c r="I113" i="14"/>
  <c r="H67" i="14" a="1"/>
  <c r="H67" i="14"/>
  <c r="H113" i="14"/>
  <c r="G67" i="14" a="1"/>
  <c r="G67" i="14"/>
  <c r="G113" i="14"/>
  <c r="F67" i="14" a="1"/>
  <c r="F67" i="14"/>
  <c r="E67" i="14" a="1"/>
  <c r="E67" i="14"/>
  <c r="D67" i="14" a="1"/>
  <c r="D67" i="14"/>
  <c r="C67" i="14" a="1"/>
  <c r="C67" i="14"/>
  <c r="B67" i="14" a="1"/>
  <c r="B67" i="14"/>
  <c r="N66" i="14" a="1"/>
  <c r="N66" i="14"/>
  <c r="N112" i="14"/>
  <c r="M66" i="14" a="1"/>
  <c r="M66" i="14"/>
  <c r="M112" i="14"/>
  <c r="L66" i="14" a="1"/>
  <c r="L66" i="14"/>
  <c r="L112" i="14"/>
  <c r="K66" i="14" a="1"/>
  <c r="K66" i="14"/>
  <c r="K112" i="14"/>
  <c r="J66" i="14" a="1"/>
  <c r="J66" i="14"/>
  <c r="J112" i="14"/>
  <c r="I66" i="14" a="1"/>
  <c r="I66" i="14"/>
  <c r="I112" i="14"/>
  <c r="H66" i="14" a="1"/>
  <c r="H66" i="14"/>
  <c r="H112" i="14"/>
  <c r="G66" i="14" a="1"/>
  <c r="G66" i="14"/>
  <c r="G112" i="14"/>
  <c r="F66" i="14" a="1"/>
  <c r="F66" i="14"/>
  <c r="E66" i="14" a="1"/>
  <c r="E66" i="14"/>
  <c r="D66" i="14" a="1"/>
  <c r="D66" i="14"/>
  <c r="C66" i="14" a="1"/>
  <c r="C66" i="14"/>
  <c r="B66" i="14" a="1"/>
  <c r="B66" i="14"/>
  <c r="N65" i="14" a="1"/>
  <c r="N65" i="14"/>
  <c r="N111" i="14"/>
  <c r="M65" i="14" a="1"/>
  <c r="M65" i="14"/>
  <c r="M111" i="14"/>
  <c r="L65" i="14" a="1"/>
  <c r="L65" i="14"/>
  <c r="L111" i="14"/>
  <c r="K65" i="14" a="1"/>
  <c r="K65" i="14"/>
  <c r="K111" i="14"/>
  <c r="J65" i="14" a="1"/>
  <c r="J65" i="14"/>
  <c r="J111" i="14"/>
  <c r="I65" i="14" a="1"/>
  <c r="I65" i="14"/>
  <c r="I111" i="14"/>
  <c r="H65" i="14" a="1"/>
  <c r="H65" i="14"/>
  <c r="H111" i="14"/>
  <c r="G65" i="14" a="1"/>
  <c r="G65" i="14"/>
  <c r="G111" i="14"/>
  <c r="F65" i="14" a="1"/>
  <c r="F65" i="14"/>
  <c r="E65" i="14" a="1"/>
  <c r="E65" i="14"/>
  <c r="D65" i="14" a="1"/>
  <c r="D65" i="14"/>
  <c r="C65" i="14" a="1"/>
  <c r="C65" i="14"/>
  <c r="B65" i="14" a="1"/>
  <c r="B65" i="14"/>
  <c r="N64" i="14" a="1"/>
  <c r="N64" i="14"/>
  <c r="N110" i="14"/>
  <c r="M64" i="14" a="1"/>
  <c r="M64" i="14"/>
  <c r="M110" i="14"/>
  <c r="L64" i="14" a="1"/>
  <c r="L64" i="14"/>
  <c r="L110" i="14"/>
  <c r="K64" i="14" a="1"/>
  <c r="K64" i="14"/>
  <c r="K110" i="14"/>
  <c r="J64" i="14" a="1"/>
  <c r="J64" i="14"/>
  <c r="J110" i="14"/>
  <c r="I64" i="14" a="1"/>
  <c r="I64" i="14"/>
  <c r="I110" i="14"/>
  <c r="H64" i="14" a="1"/>
  <c r="H64" i="14"/>
  <c r="H110" i="14"/>
  <c r="G64" i="14" a="1"/>
  <c r="G64" i="14"/>
  <c r="G110" i="14"/>
  <c r="F64" i="14" a="1"/>
  <c r="F64" i="14"/>
  <c r="E64" i="14" a="1"/>
  <c r="E64" i="14"/>
  <c r="D64" i="14" a="1"/>
  <c r="D64" i="14"/>
  <c r="D110" i="14"/>
  <c r="C64" i="14" a="1"/>
  <c r="C64" i="14"/>
  <c r="C110" i="14"/>
  <c r="B64" i="14" a="1"/>
  <c r="B64" i="14"/>
  <c r="N63" i="14" a="1"/>
  <c r="N63" i="14"/>
  <c r="N109" i="14"/>
  <c r="M63" i="14" a="1"/>
  <c r="M63" i="14"/>
  <c r="M109" i="14"/>
  <c r="L63" i="14" a="1"/>
  <c r="L63" i="14"/>
  <c r="L109" i="14"/>
  <c r="K63" i="14" a="1"/>
  <c r="K63" i="14"/>
  <c r="K109" i="14"/>
  <c r="J63" i="14" a="1"/>
  <c r="J63" i="14"/>
  <c r="J109" i="14"/>
  <c r="I63" i="14" a="1"/>
  <c r="I63" i="14"/>
  <c r="I109" i="14"/>
  <c r="H63" i="14" a="1"/>
  <c r="H63" i="14"/>
  <c r="H109" i="14"/>
  <c r="G63" i="14" a="1"/>
  <c r="G63" i="14"/>
  <c r="G109" i="14"/>
  <c r="F63" i="14" a="1"/>
  <c r="F63" i="14"/>
  <c r="E63" i="14" a="1"/>
  <c r="E63" i="14"/>
  <c r="E109" i="14"/>
  <c r="D63" i="14" a="1"/>
  <c r="D63" i="14"/>
  <c r="C63" i="14" a="1"/>
  <c r="C63" i="14"/>
  <c r="C109" i="14"/>
  <c r="N62" i="14" a="1"/>
  <c r="N62" i="14"/>
  <c r="N108" i="14"/>
  <c r="M62" i="14" a="1"/>
  <c r="M62" i="14"/>
  <c r="M108" i="14"/>
  <c r="L62" i="14" a="1"/>
  <c r="L62" i="14"/>
  <c r="L108" i="14"/>
  <c r="K62" i="14" a="1"/>
  <c r="K62" i="14"/>
  <c r="K108" i="14"/>
  <c r="J62" i="14" a="1"/>
  <c r="J62" i="14"/>
  <c r="J108" i="14"/>
  <c r="I62" i="14" a="1"/>
  <c r="I62" i="14"/>
  <c r="I108" i="14"/>
  <c r="H62" i="14" a="1"/>
  <c r="H62" i="14"/>
  <c r="H108" i="14"/>
  <c r="G62" i="14" a="1"/>
  <c r="G62" i="14"/>
  <c r="G108" i="14"/>
  <c r="F62" i="14" a="1"/>
  <c r="F62" i="14"/>
  <c r="E62" i="14" a="1"/>
  <c r="E62" i="14"/>
  <c r="D62" i="14" a="1"/>
  <c r="D62" i="14"/>
  <c r="C62" i="14" a="1"/>
  <c r="C62" i="14"/>
  <c r="B62" i="14" a="1"/>
  <c r="B62" i="14"/>
  <c r="N61" i="14" a="1"/>
  <c r="N61" i="14"/>
  <c r="N107" i="14"/>
  <c r="M61" i="14" a="1"/>
  <c r="M61" i="14"/>
  <c r="M107" i="14"/>
  <c r="L61" i="14" a="1"/>
  <c r="L61" i="14"/>
  <c r="L107" i="14"/>
  <c r="K61" i="14" a="1"/>
  <c r="K61" i="14"/>
  <c r="K107" i="14"/>
  <c r="J61" i="14" a="1"/>
  <c r="J61" i="14"/>
  <c r="J107" i="14"/>
  <c r="I61" i="14" a="1"/>
  <c r="I61" i="14"/>
  <c r="I107" i="14"/>
  <c r="H61" i="14" a="1"/>
  <c r="H61" i="14"/>
  <c r="H107" i="14"/>
  <c r="G61" i="14" a="1"/>
  <c r="G61" i="14"/>
  <c r="G107" i="14"/>
  <c r="F61" i="14" a="1"/>
  <c r="F61" i="14"/>
  <c r="E61" i="14" a="1"/>
  <c r="E61" i="14"/>
  <c r="D61" i="14" a="1"/>
  <c r="D61" i="14"/>
  <c r="C61" i="14" a="1"/>
  <c r="C61" i="14"/>
  <c r="B61" i="14" a="1"/>
  <c r="B61" i="14"/>
  <c r="N60" i="14" a="1"/>
  <c r="N60" i="14"/>
  <c r="N106" i="14"/>
  <c r="M60" i="14" a="1"/>
  <c r="M60" i="14"/>
  <c r="M106" i="14"/>
  <c r="L60" i="14" a="1"/>
  <c r="L60" i="14"/>
  <c r="L106" i="14"/>
  <c r="K60" i="14" a="1"/>
  <c r="K60" i="14"/>
  <c r="K106" i="14"/>
  <c r="J60" i="14" a="1"/>
  <c r="J60" i="14"/>
  <c r="J106" i="14"/>
  <c r="I60" i="14" a="1"/>
  <c r="I60" i="14"/>
  <c r="I106" i="14"/>
  <c r="H60" i="14" a="1"/>
  <c r="H60" i="14"/>
  <c r="H106" i="14"/>
  <c r="G60" i="14" a="1"/>
  <c r="G60" i="14"/>
  <c r="G106" i="14"/>
  <c r="F60" i="14" a="1"/>
  <c r="F60" i="14"/>
  <c r="E60" i="14" a="1"/>
  <c r="E60" i="14"/>
  <c r="D60" i="14" a="1"/>
  <c r="D60" i="14"/>
  <c r="C60" i="14" a="1"/>
  <c r="C60" i="14"/>
  <c r="B60" i="14" a="1"/>
  <c r="B60" i="14"/>
  <c r="N59" i="14" a="1"/>
  <c r="N59" i="14"/>
  <c r="N105" i="14"/>
  <c r="M59" i="14" a="1"/>
  <c r="M59" i="14"/>
  <c r="M105" i="14"/>
  <c r="L59" i="14" a="1"/>
  <c r="L59" i="14"/>
  <c r="L105" i="14"/>
  <c r="K59" i="14" a="1"/>
  <c r="K59" i="14"/>
  <c r="K105" i="14"/>
  <c r="J59" i="14" a="1"/>
  <c r="J59" i="14"/>
  <c r="J105" i="14"/>
  <c r="I59" i="14" a="1"/>
  <c r="I59" i="14"/>
  <c r="I105" i="14"/>
  <c r="H59" i="14" a="1"/>
  <c r="H59" i="14"/>
  <c r="H105" i="14"/>
  <c r="G59" i="14" a="1"/>
  <c r="G59" i="14"/>
  <c r="G105" i="14"/>
  <c r="F59" i="14" a="1"/>
  <c r="F59" i="14"/>
  <c r="E59" i="14" a="1"/>
  <c r="E59" i="14"/>
  <c r="D59" i="14" a="1"/>
  <c r="D59" i="14"/>
  <c r="C59" i="14" a="1"/>
  <c r="C59" i="14"/>
  <c r="B59" i="14" a="1"/>
  <c r="B59" i="14"/>
  <c r="N58" i="14" a="1"/>
  <c r="N58" i="14"/>
  <c r="N104" i="14"/>
  <c r="M58" i="14" a="1"/>
  <c r="M58" i="14"/>
  <c r="M104" i="14"/>
  <c r="L58" i="14" a="1"/>
  <c r="L58" i="14"/>
  <c r="L104" i="14"/>
  <c r="K58" i="14" a="1"/>
  <c r="K58" i="14"/>
  <c r="K104" i="14"/>
  <c r="J58" i="14" a="1"/>
  <c r="J58" i="14"/>
  <c r="J104" i="14"/>
  <c r="I58" i="14" a="1"/>
  <c r="I58" i="14"/>
  <c r="I104" i="14"/>
  <c r="H58" i="14" a="1"/>
  <c r="H58" i="14"/>
  <c r="H104" i="14"/>
  <c r="G58" i="14" a="1"/>
  <c r="G58" i="14"/>
  <c r="G104" i="14"/>
  <c r="F58" i="14" a="1"/>
  <c r="F58" i="14"/>
  <c r="E58" i="14" a="1"/>
  <c r="E58" i="14"/>
  <c r="D58" i="14" a="1"/>
  <c r="D58" i="14"/>
  <c r="C58" i="14" a="1"/>
  <c r="C58" i="14"/>
  <c r="B58" i="14" a="1"/>
  <c r="B58" i="14"/>
  <c r="N57" i="14" a="1"/>
  <c r="N57" i="14"/>
  <c r="N103" i="14"/>
  <c r="M57" i="14" a="1"/>
  <c r="M57" i="14"/>
  <c r="M103" i="14"/>
  <c r="L57" i="14" a="1"/>
  <c r="L57" i="14"/>
  <c r="L103" i="14"/>
  <c r="K57" i="14" a="1"/>
  <c r="K57" i="14"/>
  <c r="K103" i="14"/>
  <c r="J57" i="14" a="1"/>
  <c r="J57" i="14"/>
  <c r="J103" i="14"/>
  <c r="I57" i="14" a="1"/>
  <c r="I57" i="14"/>
  <c r="I103" i="14"/>
  <c r="H57" i="14" a="1"/>
  <c r="H57" i="14"/>
  <c r="H103" i="14"/>
  <c r="G57" i="14" a="1"/>
  <c r="G57" i="14"/>
  <c r="G103" i="14"/>
  <c r="F57" i="14" a="1"/>
  <c r="F57" i="14"/>
  <c r="E57" i="14" a="1"/>
  <c r="E57" i="14"/>
  <c r="D57" i="14" a="1"/>
  <c r="D57" i="14"/>
  <c r="C57" i="14" a="1"/>
  <c r="C57" i="14"/>
  <c r="B57" i="14" a="1"/>
  <c r="B57" i="14"/>
  <c r="N56" i="14" a="1"/>
  <c r="N56" i="14"/>
  <c r="N102" i="14"/>
  <c r="M56" i="14" a="1"/>
  <c r="M56" i="14"/>
  <c r="M102" i="14"/>
  <c r="L56" i="14" a="1"/>
  <c r="L56" i="14"/>
  <c r="L102" i="14"/>
  <c r="K56" i="14" a="1"/>
  <c r="K56" i="14"/>
  <c r="K102" i="14"/>
  <c r="J56" i="14" a="1"/>
  <c r="J56" i="14"/>
  <c r="J102" i="14"/>
  <c r="I56" i="14" a="1"/>
  <c r="I56" i="14"/>
  <c r="I102" i="14"/>
  <c r="H56" i="14" a="1"/>
  <c r="H56" i="14"/>
  <c r="H102" i="14"/>
  <c r="G56" i="14" a="1"/>
  <c r="G56" i="14"/>
  <c r="G102" i="14"/>
  <c r="F56" i="14" a="1"/>
  <c r="F56" i="14"/>
  <c r="E56" i="14" a="1"/>
  <c r="E56" i="14"/>
  <c r="D56" i="14" a="1"/>
  <c r="D56" i="14"/>
  <c r="C56" i="14" a="1"/>
  <c r="C56" i="14"/>
  <c r="B56" i="14" a="1"/>
  <c r="B56" i="14"/>
  <c r="N55" i="14" a="1"/>
  <c r="N55" i="14"/>
  <c r="N101" i="14"/>
  <c r="M55" i="14" a="1"/>
  <c r="M55" i="14"/>
  <c r="M101" i="14"/>
  <c r="L55" i="14" a="1"/>
  <c r="L55" i="14"/>
  <c r="L101" i="14"/>
  <c r="K55" i="14" a="1"/>
  <c r="K55" i="14"/>
  <c r="K101" i="14"/>
  <c r="J55" i="14" a="1"/>
  <c r="J55" i="14"/>
  <c r="J101" i="14"/>
  <c r="I55" i="14" a="1"/>
  <c r="I55" i="14"/>
  <c r="I101" i="14"/>
  <c r="H55" i="14" a="1"/>
  <c r="H55" i="14"/>
  <c r="H101" i="14"/>
  <c r="G55" i="14" a="1"/>
  <c r="G55" i="14"/>
  <c r="G101" i="14"/>
  <c r="F55" i="14" a="1"/>
  <c r="F55" i="14"/>
  <c r="E55" i="14" a="1"/>
  <c r="E55" i="14"/>
  <c r="D55" i="14" a="1"/>
  <c r="D55" i="14"/>
  <c r="C55" i="14" a="1"/>
  <c r="C55" i="14"/>
  <c r="B55" i="14" a="1"/>
  <c r="B55" i="14"/>
  <c r="N54" i="14" a="1"/>
  <c r="N54" i="14"/>
  <c r="N100" i="14"/>
  <c r="M54" i="14" a="1"/>
  <c r="M54" i="14"/>
  <c r="M100" i="14"/>
  <c r="L54" i="14" a="1"/>
  <c r="L54" i="14"/>
  <c r="L100" i="14"/>
  <c r="K54" i="14" a="1"/>
  <c r="K54" i="14"/>
  <c r="K100" i="14"/>
  <c r="J54" i="14" a="1"/>
  <c r="J54" i="14"/>
  <c r="J100" i="14"/>
  <c r="I54" i="14" a="1"/>
  <c r="I54" i="14"/>
  <c r="I100" i="14"/>
  <c r="H54" i="14" a="1"/>
  <c r="H54" i="14"/>
  <c r="H100" i="14"/>
  <c r="G54" i="14" a="1"/>
  <c r="G54" i="14"/>
  <c r="G100" i="14"/>
  <c r="F54" i="14" a="1"/>
  <c r="F54" i="14"/>
  <c r="E54" i="14" a="1"/>
  <c r="E54" i="14"/>
  <c r="D54" i="14" a="1"/>
  <c r="D54" i="14"/>
  <c r="C54" i="14" a="1"/>
  <c r="C54" i="14"/>
  <c r="B54" i="14" a="1"/>
  <c r="B54" i="14"/>
  <c r="N53" i="14" a="1"/>
  <c r="N53" i="14"/>
  <c r="N99" i="14"/>
  <c r="M53" i="14" a="1"/>
  <c r="M53" i="14"/>
  <c r="M99" i="14"/>
  <c r="L53" i="14" a="1"/>
  <c r="L53" i="14"/>
  <c r="L99" i="14"/>
  <c r="K53" i="14" a="1"/>
  <c r="K53" i="14"/>
  <c r="K99" i="14"/>
  <c r="J53" i="14" a="1"/>
  <c r="J53" i="14"/>
  <c r="J99" i="14"/>
  <c r="I53" i="14" a="1"/>
  <c r="I53" i="14"/>
  <c r="I99" i="14"/>
  <c r="H53" i="14" a="1"/>
  <c r="H53" i="14"/>
  <c r="H99" i="14"/>
  <c r="G53" i="14" a="1"/>
  <c r="G53" i="14"/>
  <c r="G99" i="14"/>
  <c r="F53" i="14" a="1"/>
  <c r="F53" i="14"/>
  <c r="E53" i="14" a="1"/>
  <c r="E53" i="14"/>
  <c r="D53" i="14" a="1"/>
  <c r="D53" i="14"/>
  <c r="C53" i="14" a="1"/>
  <c r="C53" i="14"/>
  <c r="B53" i="14" a="1"/>
  <c r="B53" i="14"/>
  <c r="N52" i="14" a="1"/>
  <c r="N52" i="14"/>
  <c r="N98" i="14"/>
  <c r="M52" i="14" a="1"/>
  <c r="M52" i="14"/>
  <c r="M98" i="14"/>
  <c r="L52" i="14" a="1"/>
  <c r="L52" i="14"/>
  <c r="L98" i="14"/>
  <c r="K52" i="14" a="1"/>
  <c r="K52" i="14"/>
  <c r="K98" i="14"/>
  <c r="J52" i="14" a="1"/>
  <c r="J52" i="14"/>
  <c r="J98" i="14"/>
  <c r="I52" i="14" a="1"/>
  <c r="I52" i="14"/>
  <c r="I98" i="14"/>
  <c r="H52" i="14" a="1"/>
  <c r="H52" i="14"/>
  <c r="H98" i="14"/>
  <c r="G52" i="14" a="1"/>
  <c r="G52" i="14"/>
  <c r="G98" i="14"/>
  <c r="F52" i="14" a="1"/>
  <c r="F52" i="14"/>
  <c r="E52" i="14" a="1"/>
  <c r="E52" i="14"/>
  <c r="D52" i="14" a="1"/>
  <c r="D52" i="14"/>
  <c r="C52" i="14" a="1"/>
  <c r="C52" i="14"/>
  <c r="B52" i="14" a="1"/>
  <c r="B52" i="14"/>
  <c r="N51" i="14" a="1"/>
  <c r="N51" i="14"/>
  <c r="N97" i="14"/>
  <c r="M51" i="14" a="1"/>
  <c r="M51" i="14"/>
  <c r="M97" i="14"/>
  <c r="L51" i="14" a="1"/>
  <c r="L51" i="14"/>
  <c r="L97" i="14"/>
  <c r="K51" i="14" a="1"/>
  <c r="K51" i="14"/>
  <c r="K97" i="14"/>
  <c r="J51" i="14" a="1"/>
  <c r="J51" i="14"/>
  <c r="J97" i="14"/>
  <c r="I51" i="14" a="1"/>
  <c r="I51" i="14"/>
  <c r="I97" i="14"/>
  <c r="H51" i="14" a="1"/>
  <c r="H51" i="14"/>
  <c r="H97" i="14"/>
  <c r="G51" i="14" a="1"/>
  <c r="G51" i="14"/>
  <c r="G97" i="14"/>
  <c r="F51" i="14" a="1"/>
  <c r="F51" i="14"/>
  <c r="E51" i="14" a="1"/>
  <c r="E51" i="14"/>
  <c r="D51" i="14" a="1"/>
  <c r="D51" i="14"/>
  <c r="C51" i="14" a="1"/>
  <c r="C51" i="14"/>
  <c r="B51" i="14" a="1"/>
  <c r="B51" i="14"/>
  <c r="N50" i="14" a="1"/>
  <c r="N50" i="14"/>
  <c r="N96" i="14"/>
  <c r="M50" i="14" a="1"/>
  <c r="M50" i="14"/>
  <c r="M96" i="14"/>
  <c r="L50" i="14" a="1"/>
  <c r="L50" i="14"/>
  <c r="L96" i="14"/>
  <c r="K50" i="14" a="1"/>
  <c r="K50" i="14"/>
  <c r="K96" i="14"/>
  <c r="J50" i="14" a="1"/>
  <c r="J50" i="14"/>
  <c r="J96" i="14"/>
  <c r="I50" i="14" a="1"/>
  <c r="I50" i="14"/>
  <c r="I96" i="14"/>
  <c r="H50" i="14" a="1"/>
  <c r="H50" i="14"/>
  <c r="H96" i="14"/>
  <c r="G50" i="14" a="1"/>
  <c r="G50" i="14"/>
  <c r="G96" i="14"/>
  <c r="F50" i="14" a="1"/>
  <c r="F50" i="14"/>
  <c r="E50" i="14" a="1"/>
  <c r="E50" i="14"/>
  <c r="D50" i="14" a="1"/>
  <c r="D50" i="14"/>
  <c r="C50" i="14" a="1"/>
  <c r="C50" i="14"/>
  <c r="B50" i="14" a="1"/>
  <c r="B50" i="14"/>
  <c r="N49" i="14" a="1"/>
  <c r="N49" i="14"/>
  <c r="N95" i="14"/>
  <c r="M49" i="14" a="1"/>
  <c r="M49" i="14"/>
  <c r="M95" i="14"/>
  <c r="L49" i="14" a="1"/>
  <c r="L49" i="14"/>
  <c r="L95" i="14"/>
  <c r="K49" i="14" a="1"/>
  <c r="K49" i="14"/>
  <c r="K95" i="14"/>
  <c r="J49" i="14" a="1"/>
  <c r="J49" i="14"/>
  <c r="J95" i="14"/>
  <c r="I49" i="14" a="1"/>
  <c r="I49" i="14"/>
  <c r="I95" i="14"/>
  <c r="H49" i="14" a="1"/>
  <c r="H49" i="14"/>
  <c r="H95" i="14"/>
  <c r="G49" i="14" a="1"/>
  <c r="G49" i="14"/>
  <c r="G95" i="14"/>
  <c r="F49" i="14" a="1"/>
  <c r="F49" i="14"/>
  <c r="E49" i="14" a="1"/>
  <c r="E49" i="14"/>
  <c r="D49" i="14" a="1"/>
  <c r="D49" i="14"/>
  <c r="C49" i="14" a="1"/>
  <c r="C49" i="14"/>
  <c r="B49" i="14" a="1"/>
  <c r="B49" i="14"/>
  <c r="N48" i="14" a="1"/>
  <c r="N48" i="14"/>
  <c r="N94" i="14"/>
  <c r="M48" i="14" a="1"/>
  <c r="M48" i="14"/>
  <c r="M94" i="14"/>
  <c r="L48" i="14" a="1"/>
  <c r="L48" i="14"/>
  <c r="L94" i="14"/>
  <c r="K48" i="14" a="1"/>
  <c r="K48" i="14"/>
  <c r="K94" i="14"/>
  <c r="J48" i="14" a="1"/>
  <c r="J48" i="14"/>
  <c r="J94" i="14"/>
  <c r="I48" i="14" a="1"/>
  <c r="I48" i="14"/>
  <c r="I94" i="14"/>
  <c r="H48" i="14" a="1"/>
  <c r="H48" i="14"/>
  <c r="H94" i="14"/>
  <c r="G48" i="14" a="1"/>
  <c r="G48" i="14"/>
  <c r="G94" i="14"/>
  <c r="F48" i="14" a="1"/>
  <c r="F48" i="14"/>
  <c r="E48" i="14" a="1"/>
  <c r="E48" i="14"/>
  <c r="D48" i="14" a="1"/>
  <c r="D48" i="14"/>
  <c r="C48" i="14" a="1"/>
  <c r="C48" i="14"/>
  <c r="B48" i="14" a="1"/>
  <c r="B48" i="14"/>
  <c r="N47" i="14" a="1"/>
  <c r="N47" i="14"/>
  <c r="N93" i="14"/>
  <c r="M47" i="14" a="1"/>
  <c r="M47" i="14"/>
  <c r="M93" i="14"/>
  <c r="L47" i="14" a="1"/>
  <c r="L47" i="14"/>
  <c r="L93" i="14"/>
  <c r="K47" i="14" a="1"/>
  <c r="K47" i="14"/>
  <c r="K93" i="14"/>
  <c r="J47" i="14" a="1"/>
  <c r="J47" i="14"/>
  <c r="J93" i="14"/>
  <c r="I47" i="14" a="1"/>
  <c r="I47" i="14"/>
  <c r="I93" i="14"/>
  <c r="H47" i="14" a="1"/>
  <c r="H47" i="14"/>
  <c r="H93" i="14"/>
  <c r="G47" i="14" a="1"/>
  <c r="G47" i="14"/>
  <c r="G93" i="14"/>
  <c r="F47" i="14" a="1"/>
  <c r="F47" i="14"/>
  <c r="E47" i="14" a="1"/>
  <c r="E47" i="14"/>
  <c r="D47" i="14" a="1"/>
  <c r="D47" i="14"/>
  <c r="C47" i="14" a="1"/>
  <c r="C47" i="14"/>
  <c r="B47" i="14" a="1"/>
  <c r="B47" i="14"/>
  <c r="N46" i="14" a="1"/>
  <c r="N46" i="14"/>
  <c r="N92" i="14"/>
  <c r="M46" i="14" a="1"/>
  <c r="M46" i="14"/>
  <c r="M92" i="14"/>
  <c r="L46" i="14" a="1"/>
  <c r="L46" i="14"/>
  <c r="L92" i="14"/>
  <c r="K46" i="14" a="1"/>
  <c r="K46" i="14"/>
  <c r="K92" i="14"/>
  <c r="J46" i="14" a="1"/>
  <c r="J46" i="14"/>
  <c r="J92" i="14"/>
  <c r="I46" i="14" a="1"/>
  <c r="I46" i="14"/>
  <c r="I92" i="14"/>
  <c r="H46" i="14" a="1"/>
  <c r="H46" i="14"/>
  <c r="H92" i="14"/>
  <c r="G46" i="14" a="1"/>
  <c r="G46" i="14"/>
  <c r="G92" i="14"/>
  <c r="F46" i="14" a="1"/>
  <c r="F46" i="14"/>
  <c r="E46" i="14" a="1"/>
  <c r="E46" i="14"/>
  <c r="D46" i="14" a="1"/>
  <c r="D46" i="14"/>
  <c r="C46" i="14" a="1"/>
  <c r="C46" i="14"/>
  <c r="B46" i="14" a="1"/>
  <c r="B46" i="14"/>
  <c r="N45" i="14" a="1"/>
  <c r="N45" i="14"/>
  <c r="N91" i="14"/>
  <c r="M45" i="14" a="1"/>
  <c r="M45" i="14"/>
  <c r="M91" i="14"/>
  <c r="L45" i="14" a="1"/>
  <c r="L45" i="14"/>
  <c r="L91" i="14"/>
  <c r="K45" i="14" a="1"/>
  <c r="K45" i="14"/>
  <c r="K91" i="14"/>
  <c r="J45" i="14" a="1"/>
  <c r="J45" i="14"/>
  <c r="J91" i="14"/>
  <c r="I45" i="14" a="1"/>
  <c r="I45" i="14"/>
  <c r="I91" i="14"/>
  <c r="H45" i="14" a="1"/>
  <c r="H45" i="14"/>
  <c r="H91" i="14"/>
  <c r="G45" i="14" a="1"/>
  <c r="G45" i="14"/>
  <c r="G91" i="14"/>
  <c r="F45" i="14" a="1"/>
  <c r="F45" i="14"/>
  <c r="E45" i="14" a="1"/>
  <c r="E45" i="14"/>
  <c r="D45" i="14" a="1"/>
  <c r="D45" i="14"/>
  <c r="C45" i="14" a="1"/>
  <c r="C45" i="14"/>
  <c r="B45" i="14" a="1"/>
  <c r="B45" i="14"/>
  <c r="N44" i="14" a="1"/>
  <c r="N44" i="14"/>
  <c r="N90" i="14"/>
  <c r="M44" i="14" a="1"/>
  <c r="M44" i="14"/>
  <c r="M90" i="14"/>
  <c r="L44" i="14" a="1"/>
  <c r="L44" i="14"/>
  <c r="L90" i="14"/>
  <c r="K44" i="14" a="1"/>
  <c r="K44" i="14"/>
  <c r="K90" i="14"/>
  <c r="J44" i="14" a="1"/>
  <c r="J44" i="14"/>
  <c r="J90" i="14"/>
  <c r="I44" i="14" a="1"/>
  <c r="I44" i="14"/>
  <c r="I90" i="14"/>
  <c r="H44" i="14" a="1"/>
  <c r="H44" i="14"/>
  <c r="H90" i="14"/>
  <c r="G44" i="14" a="1"/>
  <c r="G44" i="14"/>
  <c r="G90" i="14"/>
  <c r="F44" i="14" a="1"/>
  <c r="F44" i="14"/>
  <c r="E44" i="14" a="1"/>
  <c r="E44" i="14"/>
  <c r="D44" i="14" a="1"/>
  <c r="D44" i="14"/>
  <c r="C44" i="14" a="1"/>
  <c r="C44" i="14"/>
  <c r="B44" i="14" a="1"/>
  <c r="B44" i="14"/>
  <c r="N43" i="14" a="1"/>
  <c r="N43" i="14"/>
  <c r="N89" i="14"/>
  <c r="M43" i="14" a="1"/>
  <c r="M43" i="14"/>
  <c r="M89" i="14"/>
  <c r="L43" i="14" a="1"/>
  <c r="L43" i="14"/>
  <c r="L89" i="14"/>
  <c r="K43" i="14" a="1"/>
  <c r="K43" i="14"/>
  <c r="K89" i="14"/>
  <c r="J43" i="14" a="1"/>
  <c r="J43" i="14"/>
  <c r="J89" i="14"/>
  <c r="I43" i="14" a="1"/>
  <c r="I43" i="14"/>
  <c r="I89" i="14"/>
  <c r="H43" i="14" a="1"/>
  <c r="H43" i="14"/>
  <c r="H89" i="14"/>
  <c r="G43" i="14" a="1"/>
  <c r="G43" i="14"/>
  <c r="G89" i="14"/>
  <c r="F43" i="14" a="1"/>
  <c r="F43" i="14"/>
  <c r="E43" i="14" a="1"/>
  <c r="E43" i="14"/>
  <c r="D43" i="14" a="1"/>
  <c r="D43" i="14"/>
  <c r="C43" i="14" a="1"/>
  <c r="C43" i="14"/>
  <c r="B43" i="14" a="1"/>
  <c r="B43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125" i="13"/>
  <c r="G124" i="13"/>
  <c r="A124" i="13"/>
  <c r="A123" i="13"/>
  <c r="A122" i="13"/>
  <c r="A121" i="13"/>
  <c r="L120" i="13"/>
  <c r="G120" i="13"/>
  <c r="A120" i="13"/>
  <c r="A119" i="13"/>
  <c r="A118" i="13"/>
  <c r="A117" i="13"/>
  <c r="A116" i="13"/>
  <c r="A115" i="13"/>
  <c r="A114" i="13"/>
  <c r="A113" i="13"/>
  <c r="L112" i="13"/>
  <c r="G112" i="13"/>
  <c r="A112" i="13"/>
  <c r="A111" i="13"/>
  <c r="A110" i="13"/>
  <c r="A109" i="13"/>
  <c r="A108" i="13"/>
  <c r="A107" i="13"/>
  <c r="A106" i="13"/>
  <c r="A105" i="13"/>
  <c r="A104" i="13"/>
  <c r="A103" i="13"/>
  <c r="K102" i="13"/>
  <c r="A102" i="13"/>
  <c r="A101" i="13"/>
  <c r="A100" i="13"/>
  <c r="A99" i="13"/>
  <c r="E98" i="13"/>
  <c r="A98" i="13"/>
  <c r="A97" i="13"/>
  <c r="A96" i="13"/>
  <c r="L95" i="13"/>
  <c r="A95" i="13"/>
  <c r="A94" i="13"/>
  <c r="A93" i="13"/>
  <c r="A92" i="13"/>
  <c r="G91" i="13"/>
  <c r="A91" i="13"/>
  <c r="A90" i="13"/>
  <c r="A89" i="13"/>
  <c r="N87" i="13" a="1"/>
  <c r="N87" i="13" s="1"/>
  <c r="M87" i="13" a="1"/>
  <c r="M87" i="13" s="1"/>
  <c r="L87" i="13" a="1"/>
  <c r="L87" i="13" s="1"/>
  <c r="K87" i="13" a="1"/>
  <c r="K87" i="13" s="1"/>
  <c r="J87" i="13" a="1"/>
  <c r="J87" i="13" s="1"/>
  <c r="I87" i="13" a="1"/>
  <c r="I87" i="13" s="1"/>
  <c r="H87" i="13" a="1"/>
  <c r="H87" i="13" s="1"/>
  <c r="G87" i="13" a="1"/>
  <c r="G87" i="13" s="1"/>
  <c r="N86" i="13"/>
  <c r="M86" i="13"/>
  <c r="L86" i="13"/>
  <c r="K86" i="13"/>
  <c r="J86" i="13"/>
  <c r="I86" i="13"/>
  <c r="H86" i="13"/>
  <c r="G86" i="13"/>
  <c r="N85" i="13"/>
  <c r="M85" i="13"/>
  <c r="L85" i="13"/>
  <c r="K85" i="13"/>
  <c r="J85" i="13"/>
  <c r="I85" i="13"/>
  <c r="H85" i="13"/>
  <c r="G85" i="13"/>
  <c r="N84" i="13" a="1"/>
  <c r="N84" i="13" s="1"/>
  <c r="M84" i="13" a="1"/>
  <c r="M84" i="13" s="1"/>
  <c r="L84" i="13" a="1"/>
  <c r="L84" i="13" s="1"/>
  <c r="K84" i="13" a="1"/>
  <c r="K84" i="13" s="1"/>
  <c r="J84" i="13" a="1"/>
  <c r="J84" i="13" s="1"/>
  <c r="I84" i="13" a="1"/>
  <c r="I84" i="13" s="1"/>
  <c r="H84" i="13" a="1"/>
  <c r="H84" i="13" s="1"/>
  <c r="G84" i="13" a="1"/>
  <c r="G84" i="13" s="1"/>
  <c r="N83" i="13" a="1"/>
  <c r="N83" i="13" s="1"/>
  <c r="M83" i="13" a="1"/>
  <c r="M83" i="13" s="1"/>
  <c r="L83" i="13" a="1"/>
  <c r="L83" i="13" s="1"/>
  <c r="K83" i="13" a="1"/>
  <c r="K83" i="13" s="1"/>
  <c r="J83" i="13" a="1"/>
  <c r="J83" i="13" s="1"/>
  <c r="I83" i="13" a="1"/>
  <c r="I83" i="13" s="1"/>
  <c r="H83" i="13" a="1"/>
  <c r="H83" i="13" s="1"/>
  <c r="G83" i="13" a="1"/>
  <c r="G83" i="13" s="1"/>
  <c r="N82" i="13" a="1"/>
  <c r="N82" i="13" s="1"/>
  <c r="M82" i="13" a="1"/>
  <c r="M82" i="13" s="1"/>
  <c r="L82" i="13" a="1"/>
  <c r="L82" i="13" s="1"/>
  <c r="K82" i="13" a="1"/>
  <c r="K82" i="13" s="1"/>
  <c r="J82" i="13" a="1"/>
  <c r="J82" i="13" s="1"/>
  <c r="I82" i="13" a="1"/>
  <c r="I82" i="13" s="1"/>
  <c r="H82" i="13" a="1"/>
  <c r="H82" i="13" s="1"/>
  <c r="G82" i="13" a="1"/>
  <c r="G82" i="13" s="1"/>
  <c r="N79" i="13"/>
  <c r="N125" i="13"/>
  <c r="N79" i="13" a="1"/>
  <c r="M79" i="13" a="1"/>
  <c r="M79" i="13"/>
  <c r="M125" i="13"/>
  <c r="L79" i="13" a="1"/>
  <c r="L79" i="13"/>
  <c r="L125" i="13"/>
  <c r="K79" i="13" a="1"/>
  <c r="K79" i="13"/>
  <c r="K125" i="13"/>
  <c r="J79" i="13" a="1"/>
  <c r="J79" i="13"/>
  <c r="J125" i="13"/>
  <c r="I79" i="13" a="1"/>
  <c r="I79" i="13"/>
  <c r="I125" i="13"/>
  <c r="H79" i="13" a="1"/>
  <c r="H79" i="13"/>
  <c r="H125" i="13"/>
  <c r="G79" i="13"/>
  <c r="G125" i="13"/>
  <c r="G79" i="13" a="1"/>
  <c r="F79" i="13" a="1"/>
  <c r="F79" i="13"/>
  <c r="F125" i="13"/>
  <c r="E79" i="13" a="1"/>
  <c r="E79" i="13"/>
  <c r="E125" i="13"/>
  <c r="D79" i="13" a="1"/>
  <c r="D79" i="13"/>
  <c r="D125" i="13"/>
  <c r="C79" i="13" a="1"/>
  <c r="C79" i="13"/>
  <c r="C125" i="13"/>
  <c r="B79" i="13" a="1"/>
  <c r="B79" i="13"/>
  <c r="B125" i="13"/>
  <c r="N78" i="13" a="1"/>
  <c r="N78" i="13"/>
  <c r="N124" i="13"/>
  <c r="M78" i="13" a="1"/>
  <c r="M78" i="13"/>
  <c r="M124" i="13"/>
  <c r="L78" i="13" a="1"/>
  <c r="L78" i="13"/>
  <c r="L124" i="13"/>
  <c r="K78" i="13"/>
  <c r="K124" i="13"/>
  <c r="K78" i="13" a="1"/>
  <c r="J78" i="13" a="1"/>
  <c r="J78" i="13"/>
  <c r="J124" i="13"/>
  <c r="I78" i="13" a="1"/>
  <c r="I78" i="13"/>
  <c r="I124" i="13"/>
  <c r="H78" i="13" a="1"/>
  <c r="H78" i="13"/>
  <c r="H124" i="13"/>
  <c r="G78" i="13" a="1"/>
  <c r="G78" i="13"/>
  <c r="F78" i="13" a="1"/>
  <c r="F78" i="13"/>
  <c r="F124" i="13"/>
  <c r="E78" i="13" a="1"/>
  <c r="E78" i="13"/>
  <c r="E124" i="13"/>
  <c r="D78" i="13" a="1"/>
  <c r="D78" i="13"/>
  <c r="D124" i="13"/>
  <c r="C78" i="13" a="1"/>
  <c r="C78" i="13"/>
  <c r="C124" i="13"/>
  <c r="B78" i="13" a="1"/>
  <c r="B78" i="13"/>
  <c r="B124" i="13"/>
  <c r="N77" i="13"/>
  <c r="N123" i="13"/>
  <c r="N77" i="13" a="1"/>
  <c r="M77" i="13" a="1"/>
  <c r="M77" i="13"/>
  <c r="M123" i="13"/>
  <c r="L77" i="13" a="1"/>
  <c r="L77" i="13"/>
  <c r="L123" i="13"/>
  <c r="K77" i="13" a="1"/>
  <c r="K77" i="13"/>
  <c r="K123" i="13"/>
  <c r="J77" i="13"/>
  <c r="J123" i="13"/>
  <c r="J77" i="13" a="1"/>
  <c r="I77" i="13"/>
  <c r="I123" i="13"/>
  <c r="I77" i="13" a="1"/>
  <c r="H77" i="13" a="1"/>
  <c r="H77" i="13"/>
  <c r="H123" i="13"/>
  <c r="G77" i="13" a="1"/>
  <c r="G77" i="13"/>
  <c r="G123" i="13"/>
  <c r="F77" i="13" a="1"/>
  <c r="F77" i="13"/>
  <c r="F123" i="13"/>
  <c r="E77" i="13" a="1"/>
  <c r="E77" i="13"/>
  <c r="E123" i="13"/>
  <c r="D77" i="13" a="1"/>
  <c r="D77" i="13"/>
  <c r="D123" i="13"/>
  <c r="C77" i="13" a="1"/>
  <c r="C77" i="13"/>
  <c r="C123" i="13"/>
  <c r="B77" i="13" a="1"/>
  <c r="B77" i="13"/>
  <c r="B123" i="13"/>
  <c r="N76" i="13"/>
  <c r="N122" i="13"/>
  <c r="N76" i="13" a="1"/>
  <c r="M76" i="13" a="1"/>
  <c r="M76" i="13"/>
  <c r="M122" i="13"/>
  <c r="L76" i="13" a="1"/>
  <c r="L76" i="13"/>
  <c r="L122" i="13"/>
  <c r="K76" i="13"/>
  <c r="K122" i="13"/>
  <c r="K76" i="13" a="1"/>
  <c r="J76" i="13" a="1"/>
  <c r="J76" i="13"/>
  <c r="J122" i="13"/>
  <c r="I76" i="13" a="1"/>
  <c r="I76" i="13"/>
  <c r="I122" i="13"/>
  <c r="H76" i="13" a="1"/>
  <c r="H76" i="13"/>
  <c r="H122" i="13"/>
  <c r="G76" i="13"/>
  <c r="G122" i="13"/>
  <c r="G76" i="13" a="1"/>
  <c r="F76" i="13" a="1"/>
  <c r="F76" i="13"/>
  <c r="F122" i="13"/>
  <c r="E76" i="13" a="1"/>
  <c r="E76" i="13"/>
  <c r="E122" i="13"/>
  <c r="D76" i="13" a="1"/>
  <c r="D76" i="13"/>
  <c r="D122" i="13"/>
  <c r="C76" i="13" a="1"/>
  <c r="C76" i="13"/>
  <c r="C122" i="13"/>
  <c r="B76" i="13" a="1"/>
  <c r="B76" i="13"/>
  <c r="B122" i="13"/>
  <c r="N75" i="13" a="1"/>
  <c r="N75" i="13"/>
  <c r="N121" i="13"/>
  <c r="M75" i="13" a="1"/>
  <c r="M75" i="13"/>
  <c r="M121" i="13"/>
  <c r="L75" i="13" a="1"/>
  <c r="L75" i="13"/>
  <c r="L121" i="13"/>
  <c r="K75" i="13"/>
  <c r="K121" i="13"/>
  <c r="K75" i="13" a="1"/>
  <c r="J75" i="13" a="1"/>
  <c r="J75" i="13"/>
  <c r="J121" i="13"/>
  <c r="I75" i="13" a="1"/>
  <c r="I75" i="13"/>
  <c r="I121" i="13"/>
  <c r="H75" i="13"/>
  <c r="H121" i="13"/>
  <c r="H75" i="13" a="1"/>
  <c r="G75" i="13" a="1"/>
  <c r="G75" i="13"/>
  <c r="G121" i="13"/>
  <c r="F75" i="13" a="1"/>
  <c r="F75" i="13"/>
  <c r="F121" i="13"/>
  <c r="E75" i="13" a="1"/>
  <c r="E75" i="13"/>
  <c r="E121" i="13"/>
  <c r="D75" i="13" a="1"/>
  <c r="D75" i="13"/>
  <c r="D121" i="13"/>
  <c r="C75" i="13" a="1"/>
  <c r="C75" i="13"/>
  <c r="C121" i="13"/>
  <c r="B75" i="13" a="1"/>
  <c r="B75" i="13"/>
  <c r="B121" i="13"/>
  <c r="N74" i="13" a="1"/>
  <c r="N74" i="13"/>
  <c r="N120" i="13"/>
  <c r="M74" i="13"/>
  <c r="M120" i="13"/>
  <c r="M74" i="13" a="1"/>
  <c r="L74" i="13"/>
  <c r="L74" i="13" a="1"/>
  <c r="K74" i="13" a="1"/>
  <c r="K74" i="13"/>
  <c r="K120" i="13"/>
  <c r="J74" i="13" a="1"/>
  <c r="J74" i="13"/>
  <c r="J120" i="13"/>
  <c r="I74" i="13" a="1"/>
  <c r="I74" i="13"/>
  <c r="I120" i="13"/>
  <c r="H74" i="13"/>
  <c r="H120" i="13"/>
  <c r="H74" i="13" a="1"/>
  <c r="G74" i="13" a="1"/>
  <c r="G74" i="13"/>
  <c r="F74" i="13" a="1"/>
  <c r="F74" i="13"/>
  <c r="F120" i="13"/>
  <c r="E74" i="13"/>
  <c r="E120" i="13"/>
  <c r="E74" i="13" a="1"/>
  <c r="D74" i="13" a="1"/>
  <c r="D74" i="13"/>
  <c r="D120" i="13"/>
  <c r="C74" i="13" a="1"/>
  <c r="C74" i="13"/>
  <c r="C120" i="13"/>
  <c r="B74" i="13" a="1"/>
  <c r="B74" i="13"/>
  <c r="B120" i="13"/>
  <c r="N73" i="13"/>
  <c r="N119" i="13"/>
  <c r="N73" i="13" a="1"/>
  <c r="M73" i="13"/>
  <c r="M119" i="13"/>
  <c r="M73" i="13" a="1"/>
  <c r="L73" i="13" a="1"/>
  <c r="L73" i="13"/>
  <c r="L119" i="13"/>
  <c r="K73" i="13" a="1"/>
  <c r="K73" i="13"/>
  <c r="K119" i="13"/>
  <c r="J73" i="13"/>
  <c r="J119" i="13"/>
  <c r="J73" i="13" a="1"/>
  <c r="I73" i="13"/>
  <c r="I119" i="13"/>
  <c r="I73" i="13" a="1"/>
  <c r="H73" i="13" a="1"/>
  <c r="H73" i="13"/>
  <c r="H119" i="13"/>
  <c r="G73" i="13" a="1"/>
  <c r="G73" i="13"/>
  <c r="G119" i="13"/>
  <c r="F73" i="13" a="1"/>
  <c r="F73" i="13"/>
  <c r="F119" i="13"/>
  <c r="E73" i="13" a="1"/>
  <c r="E73" i="13"/>
  <c r="E119" i="13"/>
  <c r="D73" i="13" a="1"/>
  <c r="D73" i="13"/>
  <c r="D119" i="13"/>
  <c r="C73" i="13" a="1"/>
  <c r="C73" i="13"/>
  <c r="C119" i="13"/>
  <c r="B73" i="13"/>
  <c r="B119" i="13"/>
  <c r="B73" i="13" a="1"/>
  <c r="N72" i="13" a="1"/>
  <c r="N72" i="13"/>
  <c r="N118" i="13"/>
  <c r="M72" i="13" a="1"/>
  <c r="M72" i="13"/>
  <c r="M118" i="13"/>
  <c r="L72" i="13" a="1"/>
  <c r="L72" i="13"/>
  <c r="L118" i="13"/>
  <c r="K72" i="13" a="1"/>
  <c r="K72" i="13"/>
  <c r="K118" i="13"/>
  <c r="J72" i="13"/>
  <c r="J118" i="13"/>
  <c r="J72" i="13" a="1"/>
  <c r="I72" i="13" a="1"/>
  <c r="I72" i="13"/>
  <c r="I118" i="13"/>
  <c r="H72" i="13" a="1"/>
  <c r="H72" i="13"/>
  <c r="H118" i="13"/>
  <c r="G72" i="13"/>
  <c r="G118" i="13"/>
  <c r="G72" i="13" a="1"/>
  <c r="F72" i="13" a="1"/>
  <c r="F72" i="13"/>
  <c r="F118" i="13"/>
  <c r="E72" i="13" a="1"/>
  <c r="E72" i="13"/>
  <c r="E118" i="13"/>
  <c r="D72" i="13" a="1"/>
  <c r="D72" i="13"/>
  <c r="D118" i="13"/>
  <c r="C72" i="13" a="1"/>
  <c r="C72" i="13"/>
  <c r="C118" i="13"/>
  <c r="B72" i="13"/>
  <c r="B118" i="13"/>
  <c r="B72" i="13" a="1"/>
  <c r="N71" i="13" a="1"/>
  <c r="N71" i="13"/>
  <c r="N117" i="13"/>
  <c r="M71" i="13" a="1"/>
  <c r="M71" i="13"/>
  <c r="M117" i="13"/>
  <c r="L71" i="13"/>
  <c r="L117" i="13"/>
  <c r="L71" i="13" a="1"/>
  <c r="K71" i="13" a="1"/>
  <c r="K71" i="13"/>
  <c r="K117" i="13"/>
  <c r="J71" i="13" a="1"/>
  <c r="J71" i="13"/>
  <c r="J117" i="13"/>
  <c r="I71" i="13" a="1"/>
  <c r="I71" i="13"/>
  <c r="I117" i="13"/>
  <c r="H71" i="13" a="1"/>
  <c r="H71" i="13"/>
  <c r="H117" i="13"/>
  <c r="G71" i="13"/>
  <c r="G117" i="13"/>
  <c r="G71" i="13" a="1"/>
  <c r="F71" i="13" a="1"/>
  <c r="F71" i="13"/>
  <c r="F117" i="13"/>
  <c r="E71" i="13" a="1"/>
  <c r="E71" i="13"/>
  <c r="E117" i="13"/>
  <c r="D71" i="13" a="1"/>
  <c r="D71" i="13"/>
  <c r="D117" i="13"/>
  <c r="C71" i="13" a="1"/>
  <c r="C71" i="13"/>
  <c r="C117" i="13"/>
  <c r="B71" i="13" a="1"/>
  <c r="B71" i="13"/>
  <c r="B117" i="13"/>
  <c r="N70" i="13" a="1"/>
  <c r="N70" i="13"/>
  <c r="N116" i="13"/>
  <c r="M70" i="13" a="1"/>
  <c r="M70" i="13"/>
  <c r="M116" i="13"/>
  <c r="L70" i="13"/>
  <c r="L116" i="13"/>
  <c r="L70" i="13" a="1"/>
  <c r="K70" i="13" a="1"/>
  <c r="K70" i="13"/>
  <c r="K116" i="13"/>
  <c r="J70" i="13" a="1"/>
  <c r="J70" i="13"/>
  <c r="J116" i="13"/>
  <c r="I70" i="13"/>
  <c r="I116" i="13"/>
  <c r="I70" i="13" a="1"/>
  <c r="H70" i="13" a="1"/>
  <c r="H70" i="13"/>
  <c r="H116" i="13"/>
  <c r="G70" i="13" a="1"/>
  <c r="G70" i="13"/>
  <c r="G116" i="13"/>
  <c r="F70" i="13" a="1"/>
  <c r="F70" i="13"/>
  <c r="F116" i="13"/>
  <c r="E70" i="13" a="1"/>
  <c r="E70" i="13"/>
  <c r="E116" i="13"/>
  <c r="D70" i="13" a="1"/>
  <c r="D70" i="13"/>
  <c r="D116" i="13"/>
  <c r="C70" i="13" a="1"/>
  <c r="C70" i="13"/>
  <c r="C116" i="13"/>
  <c r="B70" i="13" a="1"/>
  <c r="B70" i="13"/>
  <c r="B116" i="13"/>
  <c r="N69" i="13"/>
  <c r="N115" i="13"/>
  <c r="N69" i="13" a="1"/>
  <c r="M69" i="13" a="1"/>
  <c r="M69" i="13"/>
  <c r="M115" i="13"/>
  <c r="L69" i="13" a="1"/>
  <c r="L69" i="13"/>
  <c r="L115" i="13"/>
  <c r="K69" i="13" a="1"/>
  <c r="K69" i="13"/>
  <c r="K115" i="13"/>
  <c r="J69" i="13" a="1"/>
  <c r="J69" i="13"/>
  <c r="J115" i="13"/>
  <c r="I69" i="13"/>
  <c r="I115" i="13"/>
  <c r="I69" i="13" a="1"/>
  <c r="H69" i="13" a="1"/>
  <c r="H69" i="13"/>
  <c r="H115" i="13"/>
  <c r="G69" i="13" a="1"/>
  <c r="G69" i="13"/>
  <c r="G115" i="13"/>
  <c r="F69" i="13" a="1"/>
  <c r="F69" i="13"/>
  <c r="F115" i="13"/>
  <c r="E69" i="13" a="1"/>
  <c r="E69" i="13"/>
  <c r="E115" i="13"/>
  <c r="D69" i="13" a="1"/>
  <c r="D69" i="13"/>
  <c r="D115" i="13"/>
  <c r="C69" i="13" a="1"/>
  <c r="C69" i="13"/>
  <c r="C115" i="13"/>
  <c r="B69" i="13" a="1"/>
  <c r="B69" i="13"/>
  <c r="B115" i="13"/>
  <c r="N68" i="13"/>
  <c r="N114" i="13"/>
  <c r="N68" i="13" a="1"/>
  <c r="M68" i="13" a="1"/>
  <c r="M68" i="13"/>
  <c r="M114" i="13"/>
  <c r="L68" i="13" a="1"/>
  <c r="L68" i="13"/>
  <c r="L114" i="13"/>
  <c r="K68" i="13"/>
  <c r="K114" i="13"/>
  <c r="K68" i="13" a="1"/>
  <c r="J68" i="13" a="1"/>
  <c r="J68" i="13"/>
  <c r="J114" i="13"/>
  <c r="I68" i="13" a="1"/>
  <c r="I68" i="13"/>
  <c r="I114" i="13"/>
  <c r="H68" i="13" a="1"/>
  <c r="H68" i="13"/>
  <c r="H114" i="13"/>
  <c r="G68" i="13" a="1"/>
  <c r="G68" i="13"/>
  <c r="G114" i="13"/>
  <c r="F68" i="13" a="1"/>
  <c r="F68" i="13"/>
  <c r="F114" i="13"/>
  <c r="E68" i="13" a="1"/>
  <c r="E68" i="13"/>
  <c r="E114" i="13"/>
  <c r="D68" i="13" a="1"/>
  <c r="D68" i="13"/>
  <c r="D114" i="13"/>
  <c r="C68" i="13"/>
  <c r="C114" i="13"/>
  <c r="C68" i="13" a="1"/>
  <c r="B68" i="13" a="1"/>
  <c r="B68" i="13"/>
  <c r="B114" i="13"/>
  <c r="N67" i="13" a="1"/>
  <c r="N67" i="13"/>
  <c r="N113" i="13"/>
  <c r="M67" i="13" a="1"/>
  <c r="M67" i="13"/>
  <c r="M113" i="13"/>
  <c r="L67" i="13" a="1"/>
  <c r="L67" i="13"/>
  <c r="L113" i="13"/>
  <c r="K67" i="13"/>
  <c r="K113" i="13"/>
  <c r="K67" i="13" a="1"/>
  <c r="J67" i="13" a="1"/>
  <c r="J67" i="13"/>
  <c r="J113" i="13"/>
  <c r="I67" i="13" a="1"/>
  <c r="I67" i="13"/>
  <c r="I113" i="13"/>
  <c r="H67" i="13"/>
  <c r="H113" i="13"/>
  <c r="H67" i="13" a="1"/>
  <c r="G67" i="13" a="1"/>
  <c r="G67" i="13"/>
  <c r="G113" i="13"/>
  <c r="F67" i="13" a="1"/>
  <c r="F67" i="13"/>
  <c r="F113" i="13"/>
  <c r="E67" i="13" a="1"/>
  <c r="E67" i="13"/>
  <c r="E113" i="13"/>
  <c r="D67" i="13" a="1"/>
  <c r="D67" i="13"/>
  <c r="D113" i="13"/>
  <c r="C67" i="13" a="1"/>
  <c r="C67" i="13"/>
  <c r="C113" i="13"/>
  <c r="B67" i="13" a="1"/>
  <c r="B67" i="13"/>
  <c r="B113" i="13"/>
  <c r="N66" i="13" a="1"/>
  <c r="N66" i="13"/>
  <c r="N112" i="13"/>
  <c r="M66" i="13"/>
  <c r="M112" i="13"/>
  <c r="M66" i="13" a="1"/>
  <c r="L66" i="13" a="1"/>
  <c r="L66" i="13"/>
  <c r="K66" i="13" a="1"/>
  <c r="K66" i="13"/>
  <c r="K112" i="13"/>
  <c r="J66" i="13" a="1"/>
  <c r="J66" i="13"/>
  <c r="J112" i="13"/>
  <c r="I66" i="13" a="1"/>
  <c r="I66" i="13"/>
  <c r="I112" i="13"/>
  <c r="H66" i="13"/>
  <c r="H112" i="13"/>
  <c r="H66" i="13" a="1"/>
  <c r="G66" i="13" a="1"/>
  <c r="G66" i="13"/>
  <c r="F66" i="13" a="1"/>
  <c r="F66" i="13"/>
  <c r="F112" i="13"/>
  <c r="E66" i="13" a="1"/>
  <c r="E66" i="13"/>
  <c r="E112" i="13"/>
  <c r="D66" i="13" a="1"/>
  <c r="D66" i="13"/>
  <c r="D112" i="13"/>
  <c r="C66" i="13" a="1"/>
  <c r="C66" i="13"/>
  <c r="C112" i="13"/>
  <c r="B66" i="13" a="1"/>
  <c r="B66" i="13"/>
  <c r="B112" i="13"/>
  <c r="N65" i="13" a="1"/>
  <c r="N65" i="13"/>
  <c r="N111" i="13"/>
  <c r="M65" i="13"/>
  <c r="M111" i="13"/>
  <c r="M65" i="13" a="1"/>
  <c r="L65" i="13" a="1"/>
  <c r="L65" i="13"/>
  <c r="L111" i="13"/>
  <c r="K65" i="13"/>
  <c r="K111" i="13"/>
  <c r="K65" i="13" a="1"/>
  <c r="J65" i="13" a="1"/>
  <c r="J65" i="13"/>
  <c r="J111" i="13"/>
  <c r="I65" i="13"/>
  <c r="I111" i="13"/>
  <c r="I65" i="13" a="1"/>
  <c r="H65" i="13" a="1"/>
  <c r="H65" i="13"/>
  <c r="H111" i="13"/>
  <c r="G65" i="13"/>
  <c r="G111" i="13"/>
  <c r="G65" i="13" a="1"/>
  <c r="F65" i="13" a="1"/>
  <c r="F65" i="13"/>
  <c r="F111" i="13"/>
  <c r="E65" i="13" a="1"/>
  <c r="E65" i="13"/>
  <c r="E111" i="13"/>
  <c r="D65" i="13" a="1"/>
  <c r="D65" i="13"/>
  <c r="D111" i="13"/>
  <c r="C65" i="13" a="1"/>
  <c r="C65" i="13"/>
  <c r="C111" i="13"/>
  <c r="B65" i="13" a="1"/>
  <c r="B65" i="13"/>
  <c r="B111" i="13"/>
  <c r="N64" i="13"/>
  <c r="N110" i="13"/>
  <c r="N64" i="13" a="1"/>
  <c r="M64" i="13" a="1"/>
  <c r="M64" i="13"/>
  <c r="M110" i="13"/>
  <c r="L64" i="13" a="1"/>
  <c r="L64" i="13"/>
  <c r="L110" i="13"/>
  <c r="K64" i="13" a="1"/>
  <c r="K64" i="13"/>
  <c r="K110" i="13"/>
  <c r="J64" i="13" a="1"/>
  <c r="J64" i="13"/>
  <c r="J110" i="13"/>
  <c r="I64" i="13" a="1"/>
  <c r="I64" i="13"/>
  <c r="I110" i="13"/>
  <c r="H64" i="13" a="1"/>
  <c r="H64" i="13"/>
  <c r="H110" i="13"/>
  <c r="G64" i="13" a="1"/>
  <c r="G64" i="13"/>
  <c r="G110" i="13"/>
  <c r="F64" i="13" a="1"/>
  <c r="F64" i="13"/>
  <c r="F110" i="13"/>
  <c r="E64" i="13" a="1"/>
  <c r="E64" i="13"/>
  <c r="E110" i="13"/>
  <c r="D64" i="13" a="1"/>
  <c r="D64" i="13"/>
  <c r="D110" i="13"/>
  <c r="C64" i="13" a="1"/>
  <c r="C64" i="13"/>
  <c r="C110" i="13"/>
  <c r="B64" i="13" a="1"/>
  <c r="B64" i="13"/>
  <c r="B110" i="13"/>
  <c r="N63" i="13" a="1"/>
  <c r="N63" i="13"/>
  <c r="N109" i="13"/>
  <c r="M63" i="13" a="1"/>
  <c r="M63" i="13"/>
  <c r="M109" i="13"/>
  <c r="L63" i="13" a="1"/>
  <c r="L63" i="13"/>
  <c r="L109" i="13"/>
  <c r="K63" i="13"/>
  <c r="K109" i="13"/>
  <c r="K63" i="13" a="1"/>
  <c r="J63" i="13" a="1"/>
  <c r="J63" i="13"/>
  <c r="J109" i="13"/>
  <c r="I63" i="13" a="1"/>
  <c r="I63" i="13"/>
  <c r="I109" i="13"/>
  <c r="H63" i="13" a="1"/>
  <c r="H63" i="13"/>
  <c r="H109" i="13"/>
  <c r="G63" i="13" a="1"/>
  <c r="G63" i="13"/>
  <c r="G109" i="13"/>
  <c r="F63" i="13" a="1"/>
  <c r="F63" i="13"/>
  <c r="F109" i="13"/>
  <c r="E63" i="13" a="1"/>
  <c r="E63" i="13"/>
  <c r="E109" i="13"/>
  <c r="D63" i="13" a="1"/>
  <c r="D63" i="13"/>
  <c r="D109" i="13"/>
  <c r="C63" i="13" a="1"/>
  <c r="C63" i="13"/>
  <c r="C109" i="13"/>
  <c r="B63" i="13" a="1"/>
  <c r="B63" i="13"/>
  <c r="B109" i="13"/>
  <c r="N62" i="13"/>
  <c r="N108" i="13"/>
  <c r="N62" i="13" a="1"/>
  <c r="M62" i="13" a="1"/>
  <c r="M62" i="13"/>
  <c r="M108" i="13"/>
  <c r="L62" i="13" a="1"/>
  <c r="L62" i="13"/>
  <c r="L108" i="13"/>
  <c r="K62" i="13" a="1"/>
  <c r="K62" i="13"/>
  <c r="K108" i="13"/>
  <c r="J62" i="13" a="1"/>
  <c r="J62" i="13"/>
  <c r="J108" i="13"/>
  <c r="I62" i="13" a="1"/>
  <c r="I62" i="13"/>
  <c r="I108" i="13"/>
  <c r="H62" i="13"/>
  <c r="H108" i="13"/>
  <c r="H62" i="13" a="1"/>
  <c r="G62" i="13" a="1"/>
  <c r="G62" i="13"/>
  <c r="G108" i="13"/>
  <c r="F62" i="13" a="1"/>
  <c r="F62" i="13"/>
  <c r="F108" i="13"/>
  <c r="E62" i="13" a="1"/>
  <c r="E62" i="13"/>
  <c r="E108" i="13"/>
  <c r="D62" i="13" a="1"/>
  <c r="D62" i="13"/>
  <c r="D108" i="13"/>
  <c r="C62" i="13" a="1"/>
  <c r="C62" i="13"/>
  <c r="C108" i="13"/>
  <c r="B62" i="13" a="1"/>
  <c r="B62" i="13"/>
  <c r="B108" i="13"/>
  <c r="N61" i="13" a="1"/>
  <c r="N61" i="13"/>
  <c r="N107" i="13"/>
  <c r="M61" i="13"/>
  <c r="M107" i="13"/>
  <c r="M61" i="13" a="1"/>
  <c r="L61" i="13" a="1"/>
  <c r="L61" i="13"/>
  <c r="L107" i="13"/>
  <c r="K61" i="13"/>
  <c r="K107" i="13"/>
  <c r="K61" i="13" a="1"/>
  <c r="J61" i="13" a="1"/>
  <c r="J61" i="13"/>
  <c r="J107" i="13"/>
  <c r="I61" i="13" a="1"/>
  <c r="I61" i="13"/>
  <c r="I107" i="13"/>
  <c r="H61" i="13" a="1"/>
  <c r="H61" i="13"/>
  <c r="H107" i="13"/>
  <c r="G61" i="13" a="1"/>
  <c r="G61" i="13"/>
  <c r="G107" i="13"/>
  <c r="F61" i="13" a="1"/>
  <c r="F61" i="13"/>
  <c r="F107" i="13"/>
  <c r="E61" i="13" a="1"/>
  <c r="E61" i="13"/>
  <c r="E107" i="13"/>
  <c r="D61" i="13" a="1"/>
  <c r="D61" i="13"/>
  <c r="D107" i="13"/>
  <c r="C61" i="13" a="1"/>
  <c r="C61" i="13"/>
  <c r="C107" i="13"/>
  <c r="B61" i="13" a="1"/>
  <c r="B61" i="13"/>
  <c r="B107" i="13"/>
  <c r="N60" i="13" a="1"/>
  <c r="N60" i="13"/>
  <c r="N106" i="13"/>
  <c r="M60" i="13" a="1"/>
  <c r="M60" i="13"/>
  <c r="M106" i="13"/>
  <c r="L60" i="13" a="1"/>
  <c r="L60" i="13"/>
  <c r="L106" i="13"/>
  <c r="K60" i="13" a="1"/>
  <c r="K60" i="13"/>
  <c r="K106" i="13"/>
  <c r="J60" i="13"/>
  <c r="J106" i="13"/>
  <c r="J60" i="13" a="1"/>
  <c r="I60" i="13" a="1"/>
  <c r="I60" i="13"/>
  <c r="I106" i="13"/>
  <c r="H60" i="13"/>
  <c r="H106" i="13"/>
  <c r="H60" i="13" a="1"/>
  <c r="G60" i="13" a="1"/>
  <c r="G60" i="13"/>
  <c r="G106" i="13"/>
  <c r="F60" i="13" a="1"/>
  <c r="F60" i="13"/>
  <c r="F106" i="13"/>
  <c r="E60" i="13" a="1"/>
  <c r="E60" i="13"/>
  <c r="E106" i="13"/>
  <c r="D60" i="13" a="1"/>
  <c r="D60" i="13"/>
  <c r="D106" i="13"/>
  <c r="C60" i="13" a="1"/>
  <c r="C60" i="13"/>
  <c r="C106" i="13"/>
  <c r="B60" i="13" a="1"/>
  <c r="B60" i="13"/>
  <c r="B106" i="13"/>
  <c r="N59" i="13" a="1"/>
  <c r="N59" i="13"/>
  <c r="N105" i="13"/>
  <c r="M59" i="13" a="1"/>
  <c r="M59" i="13"/>
  <c r="M105" i="13"/>
  <c r="L59" i="13" a="1"/>
  <c r="L59" i="13"/>
  <c r="L105" i="13"/>
  <c r="K59" i="13" a="1"/>
  <c r="K59" i="13"/>
  <c r="K105" i="13"/>
  <c r="J59" i="13" a="1"/>
  <c r="J59" i="13"/>
  <c r="J105" i="13"/>
  <c r="I59" i="13" a="1"/>
  <c r="I59" i="13"/>
  <c r="I105" i="13"/>
  <c r="H59" i="13" a="1"/>
  <c r="H59" i="13"/>
  <c r="H105" i="13"/>
  <c r="G59" i="13"/>
  <c r="G105" i="13"/>
  <c r="G59" i="13" a="1"/>
  <c r="F59" i="13" a="1"/>
  <c r="F59" i="13"/>
  <c r="F105" i="13"/>
  <c r="E59" i="13" a="1"/>
  <c r="E59" i="13"/>
  <c r="E105" i="13"/>
  <c r="D59" i="13" a="1"/>
  <c r="D59" i="13"/>
  <c r="D105" i="13"/>
  <c r="C59" i="13" a="1"/>
  <c r="C59" i="13"/>
  <c r="C105" i="13"/>
  <c r="B59" i="13" a="1"/>
  <c r="B59" i="13"/>
  <c r="B105" i="13"/>
  <c r="N58" i="13" a="1"/>
  <c r="N58" i="13"/>
  <c r="N104" i="13"/>
  <c r="M58" i="13" a="1"/>
  <c r="M58" i="13"/>
  <c r="M104" i="13"/>
  <c r="L58" i="13"/>
  <c r="L104" i="13"/>
  <c r="L58" i="13" a="1"/>
  <c r="K58" i="13" a="1"/>
  <c r="K58" i="13"/>
  <c r="K104" i="13"/>
  <c r="J58" i="13" a="1"/>
  <c r="J58" i="13"/>
  <c r="J104" i="13"/>
  <c r="I58" i="13" a="1"/>
  <c r="I58" i="13"/>
  <c r="I104" i="13"/>
  <c r="H58" i="13" a="1"/>
  <c r="H58" i="13"/>
  <c r="H104" i="13"/>
  <c r="G58" i="13" a="1"/>
  <c r="G58" i="13"/>
  <c r="G104" i="13"/>
  <c r="F58" i="13" a="1"/>
  <c r="F58" i="13"/>
  <c r="F104" i="13"/>
  <c r="E58" i="13" a="1"/>
  <c r="E58" i="13"/>
  <c r="E104" i="13"/>
  <c r="D58" i="13" a="1"/>
  <c r="D58" i="13"/>
  <c r="D104" i="13"/>
  <c r="C58" i="13" a="1"/>
  <c r="C58" i="13"/>
  <c r="C104" i="13"/>
  <c r="B58" i="13"/>
  <c r="B104" i="13"/>
  <c r="B58" i="13" a="1"/>
  <c r="N57" i="13" a="1"/>
  <c r="N57" i="13"/>
  <c r="N103" i="13"/>
  <c r="M57" i="13" a="1"/>
  <c r="M57" i="13"/>
  <c r="M103" i="13"/>
  <c r="L57" i="13" a="1"/>
  <c r="L57" i="13"/>
  <c r="L103" i="13"/>
  <c r="K57" i="13" a="1"/>
  <c r="K57" i="13"/>
  <c r="K103" i="13"/>
  <c r="J57" i="13" a="1"/>
  <c r="J57" i="13"/>
  <c r="J103" i="13"/>
  <c r="I57" i="13"/>
  <c r="I103" i="13"/>
  <c r="I57" i="13" a="1"/>
  <c r="H57" i="13" a="1"/>
  <c r="H57" i="13"/>
  <c r="H103" i="13"/>
  <c r="G57" i="13" a="1"/>
  <c r="G57" i="13"/>
  <c r="G103" i="13"/>
  <c r="F57" i="13" a="1"/>
  <c r="F57" i="13"/>
  <c r="F103" i="13"/>
  <c r="E57" i="13" a="1"/>
  <c r="E57" i="13"/>
  <c r="E103" i="13"/>
  <c r="D57" i="13" a="1"/>
  <c r="D57" i="13"/>
  <c r="D103" i="13"/>
  <c r="C57" i="13" a="1"/>
  <c r="C57" i="13"/>
  <c r="C103" i="13"/>
  <c r="B57" i="13" a="1"/>
  <c r="B57" i="13"/>
  <c r="B103" i="13"/>
  <c r="N56" i="13"/>
  <c r="N102" i="13"/>
  <c r="N56" i="13" a="1"/>
  <c r="M56" i="13" a="1"/>
  <c r="M56" i="13"/>
  <c r="M102" i="13"/>
  <c r="L56" i="13"/>
  <c r="L102" i="13"/>
  <c r="L56" i="13" a="1"/>
  <c r="K56" i="13" a="1"/>
  <c r="K56" i="13"/>
  <c r="J56" i="13" a="1"/>
  <c r="J56" i="13"/>
  <c r="J102" i="13"/>
  <c r="I56" i="13" a="1"/>
  <c r="I56" i="13"/>
  <c r="I102" i="13"/>
  <c r="H56" i="13" a="1"/>
  <c r="H56" i="13"/>
  <c r="H102" i="13"/>
  <c r="G56" i="13" a="1"/>
  <c r="G56" i="13"/>
  <c r="G102" i="13"/>
  <c r="F56" i="13" a="1"/>
  <c r="F56" i="13"/>
  <c r="F102" i="13"/>
  <c r="E56" i="13" a="1"/>
  <c r="E56" i="13"/>
  <c r="E102" i="13"/>
  <c r="D56" i="13" a="1"/>
  <c r="D56" i="13"/>
  <c r="D102" i="13"/>
  <c r="C56" i="13" a="1"/>
  <c r="C56" i="13"/>
  <c r="C102" i="13"/>
  <c r="B56" i="13" a="1"/>
  <c r="B56" i="13"/>
  <c r="B102" i="13"/>
  <c r="N55" i="13" a="1"/>
  <c r="N55" i="13"/>
  <c r="N101" i="13"/>
  <c r="M55" i="13"/>
  <c r="M101" i="13"/>
  <c r="M55" i="13" a="1"/>
  <c r="L55" i="13" a="1"/>
  <c r="L55" i="13"/>
  <c r="L101" i="13"/>
  <c r="K55" i="13"/>
  <c r="K101" i="13"/>
  <c r="K55" i="13" a="1"/>
  <c r="J55" i="13" a="1"/>
  <c r="J55" i="13"/>
  <c r="J101" i="13"/>
  <c r="I55" i="13"/>
  <c r="I101" i="13"/>
  <c r="I55" i="13" a="1"/>
  <c r="H55" i="13" a="1"/>
  <c r="H55" i="13"/>
  <c r="H101" i="13"/>
  <c r="G55" i="13" a="1"/>
  <c r="G55" i="13"/>
  <c r="G101" i="13"/>
  <c r="F55" i="13" a="1"/>
  <c r="F55" i="13"/>
  <c r="F101" i="13"/>
  <c r="E55" i="13" a="1"/>
  <c r="E55" i="13"/>
  <c r="E101" i="13"/>
  <c r="D55" i="13" a="1"/>
  <c r="D55" i="13"/>
  <c r="D101" i="13"/>
  <c r="C55" i="13" a="1"/>
  <c r="C55" i="13"/>
  <c r="C101" i="13"/>
  <c r="B55" i="13" a="1"/>
  <c r="B55" i="13"/>
  <c r="B101" i="13"/>
  <c r="N54" i="13" a="1"/>
  <c r="N54" i="13"/>
  <c r="N100" i="13"/>
  <c r="M54" i="13" a="1"/>
  <c r="M54" i="13"/>
  <c r="M100" i="13"/>
  <c r="L54" i="13" a="1"/>
  <c r="L54" i="13"/>
  <c r="L100" i="13"/>
  <c r="K54" i="13" a="1"/>
  <c r="K54" i="13"/>
  <c r="K100" i="13"/>
  <c r="J54" i="13"/>
  <c r="J100" i="13"/>
  <c r="J54" i="13" a="1"/>
  <c r="I54" i="13" a="1"/>
  <c r="I54" i="13"/>
  <c r="I100" i="13"/>
  <c r="H54" i="13"/>
  <c r="H100" i="13"/>
  <c r="H54" i="13" a="1"/>
  <c r="G54" i="13" a="1"/>
  <c r="G54" i="13"/>
  <c r="G100" i="13"/>
  <c r="F54" i="13" a="1"/>
  <c r="F54" i="13"/>
  <c r="F100" i="13"/>
  <c r="E54" i="13" a="1"/>
  <c r="E54" i="13"/>
  <c r="E100" i="13"/>
  <c r="D54" i="13" a="1"/>
  <c r="D54" i="13"/>
  <c r="D100" i="13"/>
  <c r="C54" i="13" a="1"/>
  <c r="C54" i="13"/>
  <c r="C100" i="13"/>
  <c r="B54" i="13" a="1"/>
  <c r="B54" i="13"/>
  <c r="B100" i="13"/>
  <c r="N53" i="13" a="1"/>
  <c r="N53" i="13"/>
  <c r="N99" i="13"/>
  <c r="M53" i="13"/>
  <c r="M99" i="13"/>
  <c r="M53" i="13" a="1"/>
  <c r="L53" i="13" a="1"/>
  <c r="L53" i="13"/>
  <c r="L99" i="13"/>
  <c r="K53" i="13" a="1"/>
  <c r="K53" i="13"/>
  <c r="K99" i="13"/>
  <c r="J53" i="13" a="1"/>
  <c r="J53" i="13"/>
  <c r="J99" i="13"/>
  <c r="I53" i="13" a="1"/>
  <c r="I53" i="13"/>
  <c r="I99" i="13"/>
  <c r="H53" i="13" a="1"/>
  <c r="H53" i="13"/>
  <c r="H99" i="13"/>
  <c r="G53" i="13"/>
  <c r="G99" i="13"/>
  <c r="G53" i="13" a="1"/>
  <c r="F53" i="13" a="1"/>
  <c r="F53" i="13"/>
  <c r="F99" i="13"/>
  <c r="E53" i="13" a="1"/>
  <c r="E53" i="13"/>
  <c r="E99" i="13"/>
  <c r="D53" i="13" a="1"/>
  <c r="D53" i="13"/>
  <c r="D99" i="13"/>
  <c r="C53" i="13"/>
  <c r="C99" i="13"/>
  <c r="C53" i="13" a="1"/>
  <c r="B53" i="13" a="1"/>
  <c r="B53" i="13"/>
  <c r="B99" i="13"/>
  <c r="N52" i="13" a="1"/>
  <c r="N52" i="13"/>
  <c r="N98" i="13"/>
  <c r="M52" i="13" a="1"/>
  <c r="M52" i="13"/>
  <c r="M98" i="13"/>
  <c r="L52" i="13" a="1"/>
  <c r="L52" i="13"/>
  <c r="L98" i="13"/>
  <c r="K52" i="13" a="1"/>
  <c r="K52" i="13"/>
  <c r="K98" i="13"/>
  <c r="J52" i="13"/>
  <c r="J98" i="13"/>
  <c r="J52" i="13" a="1"/>
  <c r="I52" i="13" a="1"/>
  <c r="I52" i="13"/>
  <c r="I98" i="13"/>
  <c r="H52" i="13" a="1"/>
  <c r="H52" i="13"/>
  <c r="H98" i="13"/>
  <c r="G52" i="13" a="1"/>
  <c r="G52" i="13"/>
  <c r="G98" i="13"/>
  <c r="F52" i="13" a="1"/>
  <c r="F52" i="13"/>
  <c r="F98" i="13"/>
  <c r="E52" i="13" a="1"/>
  <c r="E52" i="13"/>
  <c r="D52" i="13" a="1"/>
  <c r="D52" i="13"/>
  <c r="D98" i="13"/>
  <c r="C52" i="13" a="1"/>
  <c r="C52" i="13"/>
  <c r="C98" i="13"/>
  <c r="B52" i="13" a="1"/>
  <c r="B52" i="13"/>
  <c r="B98" i="13"/>
  <c r="N51" i="13" a="1"/>
  <c r="N51" i="13"/>
  <c r="N97" i="13"/>
  <c r="M51" i="13"/>
  <c r="M97" i="13"/>
  <c r="M51" i="13" a="1"/>
  <c r="L51" i="13" a="1"/>
  <c r="L51" i="13"/>
  <c r="L97" i="13"/>
  <c r="K51" i="13" a="1"/>
  <c r="K51" i="13"/>
  <c r="K97" i="13"/>
  <c r="J51" i="13" a="1"/>
  <c r="J51" i="13"/>
  <c r="J97" i="13"/>
  <c r="I51" i="13" a="1"/>
  <c r="I51" i="13"/>
  <c r="I97" i="13"/>
  <c r="H51" i="13" a="1"/>
  <c r="H51" i="13"/>
  <c r="H97" i="13"/>
  <c r="G51" i="13"/>
  <c r="G97" i="13"/>
  <c r="G51" i="13" a="1"/>
  <c r="F51" i="13" a="1"/>
  <c r="F51" i="13"/>
  <c r="F97" i="13"/>
  <c r="E51" i="13" a="1"/>
  <c r="E51" i="13"/>
  <c r="E97" i="13"/>
  <c r="D51" i="13" a="1"/>
  <c r="D51" i="13"/>
  <c r="D97" i="13"/>
  <c r="C51" i="13" a="1"/>
  <c r="C51" i="13"/>
  <c r="C97" i="13"/>
  <c r="B51" i="13" a="1"/>
  <c r="B51" i="13"/>
  <c r="B97" i="13"/>
  <c r="N50" i="13"/>
  <c r="N96" i="13"/>
  <c r="N50" i="13" a="1"/>
  <c r="M50" i="13" a="1"/>
  <c r="M50" i="13"/>
  <c r="M96" i="13"/>
  <c r="L50" i="13"/>
  <c r="L96" i="13"/>
  <c r="L50" i="13" a="1"/>
  <c r="K50" i="13" a="1"/>
  <c r="K50" i="13"/>
  <c r="K96" i="13"/>
  <c r="J50" i="13"/>
  <c r="J96" i="13"/>
  <c r="J50" i="13" a="1"/>
  <c r="I50" i="13" a="1"/>
  <c r="I50" i="13"/>
  <c r="I96" i="13"/>
  <c r="H50" i="13" a="1"/>
  <c r="H50" i="13"/>
  <c r="H96" i="13"/>
  <c r="G50" i="13" a="1"/>
  <c r="G50" i="13"/>
  <c r="G96" i="13"/>
  <c r="F50" i="13" a="1"/>
  <c r="F50" i="13"/>
  <c r="F96" i="13"/>
  <c r="E50" i="13" a="1"/>
  <c r="E50" i="13"/>
  <c r="E96" i="13"/>
  <c r="D50" i="13" a="1"/>
  <c r="D50" i="13"/>
  <c r="D96" i="13"/>
  <c r="C50" i="13" a="1"/>
  <c r="C50" i="13"/>
  <c r="C96" i="13"/>
  <c r="B50" i="13" a="1"/>
  <c r="B50" i="13"/>
  <c r="B96" i="13"/>
  <c r="N49" i="13" a="1"/>
  <c r="N49" i="13"/>
  <c r="N95" i="13"/>
  <c r="M49" i="13" a="1"/>
  <c r="M49" i="13"/>
  <c r="M95" i="13"/>
  <c r="L49" i="13" a="1"/>
  <c r="L49" i="13"/>
  <c r="K49" i="13"/>
  <c r="K95" i="13"/>
  <c r="K49" i="13" a="1"/>
  <c r="J49" i="13" a="1"/>
  <c r="J49" i="13"/>
  <c r="J95" i="13"/>
  <c r="I49" i="13"/>
  <c r="I95" i="13"/>
  <c r="I49" i="13" a="1"/>
  <c r="H49" i="13" a="1"/>
  <c r="H49" i="13"/>
  <c r="H95" i="13"/>
  <c r="G49" i="13"/>
  <c r="G95" i="13"/>
  <c r="G49" i="13" a="1"/>
  <c r="F49" i="13" a="1"/>
  <c r="F49" i="13"/>
  <c r="F95" i="13"/>
  <c r="E49" i="13" a="1"/>
  <c r="E49" i="13"/>
  <c r="E95" i="13"/>
  <c r="D49" i="13" a="1"/>
  <c r="D49" i="13"/>
  <c r="D95" i="13"/>
  <c r="C49" i="13" a="1"/>
  <c r="C49" i="13"/>
  <c r="C95" i="13"/>
  <c r="B49" i="13" a="1"/>
  <c r="B49" i="13"/>
  <c r="B95" i="13"/>
  <c r="N48" i="13"/>
  <c r="N94" i="13"/>
  <c r="N48" i="13" a="1"/>
  <c r="M48" i="13" a="1"/>
  <c r="M48" i="13"/>
  <c r="M94" i="13"/>
  <c r="L48" i="13" a="1"/>
  <c r="L48" i="13"/>
  <c r="L94" i="13"/>
  <c r="K48" i="13" a="1"/>
  <c r="K48" i="13"/>
  <c r="K94" i="13"/>
  <c r="J48" i="13" a="1"/>
  <c r="J48" i="13"/>
  <c r="J94" i="13"/>
  <c r="I48" i="13" a="1"/>
  <c r="I48" i="13"/>
  <c r="I94" i="13"/>
  <c r="H48" i="13"/>
  <c r="H94" i="13"/>
  <c r="H48" i="13" a="1"/>
  <c r="G48" i="13" a="1"/>
  <c r="G48" i="13"/>
  <c r="G94" i="13"/>
  <c r="F48" i="13" a="1"/>
  <c r="F48" i="13"/>
  <c r="F94" i="13"/>
  <c r="E48" i="13" a="1"/>
  <c r="E48" i="13"/>
  <c r="E94" i="13"/>
  <c r="D48" i="13"/>
  <c r="D94" i="13"/>
  <c r="D48" i="13" a="1"/>
  <c r="C48" i="13" a="1"/>
  <c r="C48" i="13"/>
  <c r="C94" i="13"/>
  <c r="B48" i="13" a="1"/>
  <c r="B48" i="13"/>
  <c r="B94" i="13"/>
  <c r="N47" i="13" a="1"/>
  <c r="N47" i="13"/>
  <c r="N93" i="13"/>
  <c r="M47" i="13" a="1"/>
  <c r="M47" i="13"/>
  <c r="M93" i="13"/>
  <c r="L47" i="13" a="1"/>
  <c r="L47" i="13"/>
  <c r="L93" i="13"/>
  <c r="K47" i="13"/>
  <c r="K93" i="13"/>
  <c r="K47" i="13" a="1"/>
  <c r="J47" i="13" a="1"/>
  <c r="J47" i="13"/>
  <c r="J93" i="13"/>
  <c r="I47" i="13" a="1"/>
  <c r="I47" i="13"/>
  <c r="I93" i="13"/>
  <c r="H47" i="13" a="1"/>
  <c r="H47" i="13"/>
  <c r="H93" i="13"/>
  <c r="G47" i="13" a="1"/>
  <c r="G47" i="13"/>
  <c r="G93" i="13"/>
  <c r="F47" i="13" a="1"/>
  <c r="F47" i="13"/>
  <c r="F93" i="13"/>
  <c r="E47" i="13" a="1"/>
  <c r="E47" i="13"/>
  <c r="E93" i="13"/>
  <c r="D47" i="13" a="1"/>
  <c r="D47" i="13"/>
  <c r="D93" i="13"/>
  <c r="C47" i="13" a="1"/>
  <c r="C47" i="13"/>
  <c r="C93" i="13"/>
  <c r="B47" i="13" a="1"/>
  <c r="B47" i="13"/>
  <c r="B93" i="13"/>
  <c r="N46" i="13"/>
  <c r="N92" i="13"/>
  <c r="N46" i="13" a="1"/>
  <c r="M46" i="13" a="1"/>
  <c r="M46" i="13"/>
  <c r="M92" i="13"/>
  <c r="L46" i="13" a="1"/>
  <c r="L46" i="13"/>
  <c r="L92" i="13"/>
  <c r="K46" i="13" a="1"/>
  <c r="K46" i="13"/>
  <c r="K92" i="13"/>
  <c r="J46" i="13" a="1"/>
  <c r="J46" i="13"/>
  <c r="J92" i="13"/>
  <c r="I46" i="13" a="1"/>
  <c r="I46" i="13"/>
  <c r="I92" i="13"/>
  <c r="H46" i="13"/>
  <c r="H92" i="13"/>
  <c r="H46" i="13" a="1"/>
  <c r="G46" i="13" a="1"/>
  <c r="G46" i="13"/>
  <c r="G92" i="13"/>
  <c r="F46" i="13" a="1"/>
  <c r="F46" i="13"/>
  <c r="F92" i="13"/>
  <c r="E46" i="13" a="1"/>
  <c r="E46" i="13"/>
  <c r="E92" i="13"/>
  <c r="D46" i="13" a="1"/>
  <c r="D46" i="13"/>
  <c r="D92" i="13"/>
  <c r="C46" i="13" a="1"/>
  <c r="C46" i="13"/>
  <c r="C92" i="13"/>
  <c r="B46" i="13" a="1"/>
  <c r="B46" i="13"/>
  <c r="B92" i="13"/>
  <c r="N45" i="13" a="1"/>
  <c r="N45" i="13"/>
  <c r="N91" i="13"/>
  <c r="M45" i="13" a="1"/>
  <c r="M45" i="13"/>
  <c r="M91" i="13"/>
  <c r="L45" i="13"/>
  <c r="L91" i="13"/>
  <c r="L45" i="13" a="1"/>
  <c r="K45" i="13" a="1"/>
  <c r="K45" i="13"/>
  <c r="K91" i="13"/>
  <c r="J45" i="13" a="1"/>
  <c r="J45" i="13"/>
  <c r="J91" i="13"/>
  <c r="I45" i="13" a="1"/>
  <c r="I45" i="13"/>
  <c r="I91" i="13"/>
  <c r="H45" i="13"/>
  <c r="H91" i="13"/>
  <c r="H45" i="13" a="1"/>
  <c r="G45" i="13"/>
  <c r="G45" i="13" a="1"/>
  <c r="F45" i="13" a="1"/>
  <c r="F45" i="13"/>
  <c r="F91" i="13"/>
  <c r="E45" i="13"/>
  <c r="E91" i="13"/>
  <c r="E45" i="13" a="1"/>
  <c r="D45" i="13" a="1"/>
  <c r="D45" i="13"/>
  <c r="D91" i="13"/>
  <c r="C45" i="13" a="1"/>
  <c r="C45" i="13"/>
  <c r="C91" i="13"/>
  <c r="B45" i="13" a="1"/>
  <c r="B45" i="13"/>
  <c r="B91" i="13"/>
  <c r="N44" i="13" a="1"/>
  <c r="N44" i="13"/>
  <c r="N90" i="13"/>
  <c r="M44" i="13" a="1"/>
  <c r="M44" i="13"/>
  <c r="M90" i="13"/>
  <c r="L44" i="13"/>
  <c r="L90" i="13"/>
  <c r="L44" i="13" a="1"/>
  <c r="K44" i="13" a="1"/>
  <c r="K44" i="13"/>
  <c r="K90" i="13"/>
  <c r="J44" i="13" a="1"/>
  <c r="J44" i="13"/>
  <c r="J90" i="13"/>
  <c r="I44" i="13"/>
  <c r="I90" i="13"/>
  <c r="I44" i="13" a="1"/>
  <c r="H44" i="13" a="1"/>
  <c r="H44" i="13"/>
  <c r="H90" i="13"/>
  <c r="G44" i="13" a="1"/>
  <c r="G44" i="13"/>
  <c r="G90" i="13"/>
  <c r="F44" i="13"/>
  <c r="F90" i="13"/>
  <c r="F44" i="13" a="1"/>
  <c r="E44" i="13" a="1"/>
  <c r="E44" i="13"/>
  <c r="E90" i="13"/>
  <c r="D44" i="13" a="1"/>
  <c r="D44" i="13"/>
  <c r="D90" i="13"/>
  <c r="C44" i="13" a="1"/>
  <c r="C44" i="13"/>
  <c r="C90" i="13"/>
  <c r="B44" i="13" a="1"/>
  <c r="B44" i="13"/>
  <c r="B90" i="13"/>
  <c r="N43" i="13" a="1"/>
  <c r="N43" i="13"/>
  <c r="N89" i="13"/>
  <c r="M43" i="13"/>
  <c r="M89" i="13"/>
  <c r="M43" i="13" a="1"/>
  <c r="L43" i="13" a="1"/>
  <c r="L43" i="13"/>
  <c r="L89" i="13"/>
  <c r="K43" i="13"/>
  <c r="K89" i="13"/>
  <c r="K43" i="13" a="1"/>
  <c r="J43" i="13"/>
  <c r="J89" i="13"/>
  <c r="J43" i="13" a="1"/>
  <c r="I43" i="13" a="1"/>
  <c r="I43" i="13"/>
  <c r="I89" i="13"/>
  <c r="H43" i="13" a="1"/>
  <c r="H43" i="13"/>
  <c r="H89" i="13"/>
  <c r="G43" i="13" a="1"/>
  <c r="G43" i="13"/>
  <c r="G89" i="13"/>
  <c r="F43" i="13" a="1"/>
  <c r="F43" i="13"/>
  <c r="F89" i="13"/>
  <c r="E43" i="13" a="1"/>
  <c r="E43" i="13"/>
  <c r="E89" i="13"/>
  <c r="D43" i="13" a="1"/>
  <c r="D43" i="13"/>
  <c r="D89" i="13"/>
  <c r="C43" i="13" a="1"/>
  <c r="C43" i="13"/>
  <c r="C89" i="13"/>
  <c r="B43" i="13" a="1"/>
  <c r="B43" i="13"/>
  <c r="B89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B43" i="7" a="1"/>
  <c r="B43" i="7"/>
  <c r="C43" i="7" a="1"/>
  <c r="C43" i="7"/>
  <c r="D43" i="7" a="1"/>
  <c r="D43" i="7"/>
  <c r="E43" i="7" a="1"/>
  <c r="E43" i="7"/>
  <c r="F43" i="7" a="1"/>
  <c r="F43" i="7"/>
  <c r="G43" i="7" a="1"/>
  <c r="G43" i="7"/>
  <c r="H43" i="7" a="1"/>
  <c r="H43" i="7"/>
  <c r="I43" i="7" a="1"/>
  <c r="I43" i="7"/>
  <c r="J43" i="7" a="1"/>
  <c r="J43" i="7"/>
  <c r="K43" i="7" a="1"/>
  <c r="K43" i="7"/>
  <c r="L43" i="7" a="1"/>
  <c r="L43" i="7"/>
  <c r="M43" i="7" a="1"/>
  <c r="M43" i="7"/>
  <c r="N43" i="7" a="1"/>
  <c r="N43" i="7"/>
  <c r="B44" i="7" a="1"/>
  <c r="B44" i="7"/>
  <c r="C44" i="7" a="1"/>
  <c r="C44" i="7"/>
  <c r="D44" i="7" a="1"/>
  <c r="D44" i="7"/>
  <c r="E44" i="7" a="1"/>
  <c r="E44" i="7"/>
  <c r="F44" i="7" a="1"/>
  <c r="F44" i="7"/>
  <c r="G44" i="7" a="1"/>
  <c r="G44" i="7"/>
  <c r="H44" i="7" a="1"/>
  <c r="H44" i="7"/>
  <c r="I44" i="7" a="1"/>
  <c r="I44" i="7"/>
  <c r="J44" i="7" a="1"/>
  <c r="J44" i="7"/>
  <c r="K44" i="7" a="1"/>
  <c r="K44" i="7"/>
  <c r="L44" i="7" a="1"/>
  <c r="L44" i="7"/>
  <c r="M44" i="7" a="1"/>
  <c r="M44" i="7"/>
  <c r="N44" i="7" a="1"/>
  <c r="N44" i="7"/>
  <c r="B45" i="7" a="1"/>
  <c r="B45" i="7"/>
  <c r="C45" i="7" a="1"/>
  <c r="C45" i="7"/>
  <c r="D45" i="7" a="1"/>
  <c r="D45" i="7"/>
  <c r="E45" i="7" a="1"/>
  <c r="E45" i="7"/>
  <c r="F45" i="7" a="1"/>
  <c r="F45" i="7"/>
  <c r="G45" i="7" a="1"/>
  <c r="G45" i="7"/>
  <c r="H45" i="7" a="1"/>
  <c r="H45" i="7"/>
  <c r="I45" i="7" a="1"/>
  <c r="I45" i="7"/>
  <c r="J45" i="7" a="1"/>
  <c r="J45" i="7"/>
  <c r="K45" i="7" a="1"/>
  <c r="K45" i="7"/>
  <c r="L45" i="7" a="1"/>
  <c r="L45" i="7"/>
  <c r="M45" i="7" a="1"/>
  <c r="M45" i="7"/>
  <c r="N45" i="7" a="1"/>
  <c r="N45" i="7"/>
  <c r="B46" i="7" a="1"/>
  <c r="B46" i="7"/>
  <c r="C46" i="7" a="1"/>
  <c r="C46" i="7"/>
  <c r="D46" i="7" a="1"/>
  <c r="D46" i="7"/>
  <c r="E46" i="7" a="1"/>
  <c r="E46" i="7"/>
  <c r="F46" i="7" a="1"/>
  <c r="F46" i="7"/>
  <c r="G46" i="7" a="1"/>
  <c r="G46" i="7"/>
  <c r="H46" i="7" a="1"/>
  <c r="H46" i="7"/>
  <c r="I46" i="7" a="1"/>
  <c r="I46" i="7"/>
  <c r="J46" i="7" a="1"/>
  <c r="J46" i="7"/>
  <c r="K46" i="7" a="1"/>
  <c r="K46" i="7"/>
  <c r="L46" i="7" a="1"/>
  <c r="L46" i="7"/>
  <c r="M46" i="7" a="1"/>
  <c r="M46" i="7"/>
  <c r="N46" i="7" a="1"/>
  <c r="N46" i="7"/>
  <c r="B47" i="7" a="1"/>
  <c r="B47" i="7"/>
  <c r="C47" i="7" a="1"/>
  <c r="C47" i="7"/>
  <c r="D47" i="7" a="1"/>
  <c r="D47" i="7"/>
  <c r="E47" i="7" a="1"/>
  <c r="E47" i="7"/>
  <c r="F47" i="7" a="1"/>
  <c r="F47" i="7"/>
  <c r="G47" i="7" a="1"/>
  <c r="G47" i="7"/>
  <c r="H47" i="7" a="1"/>
  <c r="H47" i="7"/>
  <c r="I47" i="7" a="1"/>
  <c r="I47" i="7"/>
  <c r="J47" i="7" a="1"/>
  <c r="J47" i="7"/>
  <c r="K47" i="7" a="1"/>
  <c r="K47" i="7"/>
  <c r="L47" i="7" a="1"/>
  <c r="L47" i="7"/>
  <c r="M47" i="7" a="1"/>
  <c r="M47" i="7"/>
  <c r="N47" i="7" a="1"/>
  <c r="N47" i="7"/>
  <c r="B48" i="7" a="1"/>
  <c r="B48" i="7"/>
  <c r="C48" i="7" a="1"/>
  <c r="C48" i="7"/>
  <c r="D48" i="7" a="1"/>
  <c r="D48" i="7"/>
  <c r="E48" i="7" a="1"/>
  <c r="E48" i="7"/>
  <c r="F48" i="7" a="1"/>
  <c r="F48" i="7"/>
  <c r="G48" i="7" a="1"/>
  <c r="G48" i="7"/>
  <c r="H48" i="7" a="1"/>
  <c r="H48" i="7"/>
  <c r="I48" i="7" a="1"/>
  <c r="I48" i="7"/>
  <c r="J48" i="7" a="1"/>
  <c r="J48" i="7"/>
  <c r="K48" i="7" a="1"/>
  <c r="K48" i="7"/>
  <c r="L48" i="7" a="1"/>
  <c r="L48" i="7"/>
  <c r="M48" i="7" a="1"/>
  <c r="M48" i="7"/>
  <c r="N48" i="7" a="1"/>
  <c r="N48" i="7"/>
  <c r="B49" i="7" a="1"/>
  <c r="B49" i="7"/>
  <c r="C49" i="7" a="1"/>
  <c r="C49" i="7"/>
  <c r="D49" i="7" a="1"/>
  <c r="D49" i="7"/>
  <c r="E49" i="7" a="1"/>
  <c r="E49" i="7"/>
  <c r="F49" i="7" a="1"/>
  <c r="F49" i="7"/>
  <c r="G49" i="7" a="1"/>
  <c r="G49" i="7"/>
  <c r="H49" i="7" a="1"/>
  <c r="H49" i="7"/>
  <c r="I49" i="7" a="1"/>
  <c r="I49" i="7"/>
  <c r="J49" i="7" a="1"/>
  <c r="J49" i="7"/>
  <c r="K49" i="7" a="1"/>
  <c r="K49" i="7"/>
  <c r="L49" i="7" a="1"/>
  <c r="L49" i="7"/>
  <c r="M49" i="7" a="1"/>
  <c r="M49" i="7"/>
  <c r="N49" i="7" a="1"/>
  <c r="N49" i="7"/>
  <c r="B50" i="7" a="1"/>
  <c r="B50" i="7"/>
  <c r="C50" i="7" a="1"/>
  <c r="C50" i="7"/>
  <c r="D50" i="7" a="1"/>
  <c r="D50" i="7"/>
  <c r="E50" i="7" a="1"/>
  <c r="E50" i="7"/>
  <c r="F50" i="7" a="1"/>
  <c r="F50" i="7"/>
  <c r="G50" i="7" a="1"/>
  <c r="G50" i="7"/>
  <c r="H50" i="7" a="1"/>
  <c r="H50" i="7"/>
  <c r="I50" i="7" a="1"/>
  <c r="I50" i="7"/>
  <c r="J50" i="7" a="1"/>
  <c r="J50" i="7"/>
  <c r="K50" i="7" a="1"/>
  <c r="K50" i="7"/>
  <c r="L50" i="7" a="1"/>
  <c r="L50" i="7"/>
  <c r="M50" i="7" a="1"/>
  <c r="M50" i="7"/>
  <c r="N50" i="7" a="1"/>
  <c r="N50" i="7"/>
  <c r="B51" i="7" a="1"/>
  <c r="B51" i="7"/>
  <c r="C51" i="7" a="1"/>
  <c r="C51" i="7"/>
  <c r="D51" i="7" a="1"/>
  <c r="D51" i="7"/>
  <c r="E51" i="7" a="1"/>
  <c r="E51" i="7"/>
  <c r="F51" i="7" a="1"/>
  <c r="F51" i="7"/>
  <c r="G51" i="7" a="1"/>
  <c r="G51" i="7"/>
  <c r="H51" i="7" a="1"/>
  <c r="H51" i="7"/>
  <c r="I51" i="7" a="1"/>
  <c r="I51" i="7"/>
  <c r="J51" i="7" a="1"/>
  <c r="J51" i="7"/>
  <c r="K51" i="7" a="1"/>
  <c r="K51" i="7"/>
  <c r="L51" i="7" a="1"/>
  <c r="L51" i="7"/>
  <c r="M51" i="7" a="1"/>
  <c r="M51" i="7"/>
  <c r="N51" i="7" a="1"/>
  <c r="N51" i="7"/>
  <c r="B52" i="7" a="1"/>
  <c r="B52" i="7"/>
  <c r="C52" i="7" a="1"/>
  <c r="C52" i="7"/>
  <c r="D52" i="7" a="1"/>
  <c r="D52" i="7"/>
  <c r="E52" i="7" a="1"/>
  <c r="E52" i="7"/>
  <c r="F52" i="7" a="1"/>
  <c r="F52" i="7"/>
  <c r="G52" i="7" a="1"/>
  <c r="G52" i="7"/>
  <c r="H52" i="7" a="1"/>
  <c r="H52" i="7"/>
  <c r="I52" i="7" a="1"/>
  <c r="I52" i="7"/>
  <c r="J52" i="7" a="1"/>
  <c r="J52" i="7"/>
  <c r="K52" i="7" a="1"/>
  <c r="K52" i="7"/>
  <c r="L52" i="7" a="1"/>
  <c r="L52" i="7"/>
  <c r="M52" i="7" a="1"/>
  <c r="M52" i="7"/>
  <c r="N52" i="7" a="1"/>
  <c r="N52" i="7"/>
  <c r="B53" i="7" a="1"/>
  <c r="B53" i="7"/>
  <c r="C53" i="7" a="1"/>
  <c r="C53" i="7"/>
  <c r="D53" i="7" a="1"/>
  <c r="D53" i="7"/>
  <c r="E53" i="7" a="1"/>
  <c r="E53" i="7"/>
  <c r="F53" i="7" a="1"/>
  <c r="F53" i="7"/>
  <c r="G53" i="7" a="1"/>
  <c r="G53" i="7"/>
  <c r="H53" i="7" a="1"/>
  <c r="H53" i="7"/>
  <c r="I53" i="7" a="1"/>
  <c r="I53" i="7"/>
  <c r="J53" i="7" a="1"/>
  <c r="J53" i="7"/>
  <c r="K53" i="7" a="1"/>
  <c r="K53" i="7"/>
  <c r="L53" i="7" a="1"/>
  <c r="L53" i="7"/>
  <c r="M53" i="7" a="1"/>
  <c r="M53" i="7"/>
  <c r="N53" i="7" a="1"/>
  <c r="N53" i="7"/>
  <c r="B54" i="7" a="1"/>
  <c r="B54" i="7"/>
  <c r="C54" i="7" a="1"/>
  <c r="C54" i="7"/>
  <c r="D54" i="7" a="1"/>
  <c r="D54" i="7"/>
  <c r="E54" i="7" a="1"/>
  <c r="E54" i="7"/>
  <c r="F54" i="7" a="1"/>
  <c r="F54" i="7"/>
  <c r="G54" i="7" a="1"/>
  <c r="G54" i="7"/>
  <c r="H54" i="7" a="1"/>
  <c r="H54" i="7"/>
  <c r="I54" i="7" a="1"/>
  <c r="I54" i="7"/>
  <c r="J54" i="7" a="1"/>
  <c r="J54" i="7"/>
  <c r="K54" i="7" a="1"/>
  <c r="K54" i="7"/>
  <c r="L54" i="7" a="1"/>
  <c r="L54" i="7"/>
  <c r="M54" i="7" a="1"/>
  <c r="M54" i="7"/>
  <c r="N54" i="7" a="1"/>
  <c r="N54" i="7"/>
  <c r="B55" i="7" a="1"/>
  <c r="B55" i="7"/>
  <c r="C55" i="7" a="1"/>
  <c r="C55" i="7"/>
  <c r="D55" i="7" a="1"/>
  <c r="D55" i="7"/>
  <c r="E55" i="7" a="1"/>
  <c r="E55" i="7"/>
  <c r="F55" i="7" a="1"/>
  <c r="F55" i="7"/>
  <c r="G55" i="7" a="1"/>
  <c r="G55" i="7"/>
  <c r="H55" i="7" a="1"/>
  <c r="H55" i="7"/>
  <c r="I55" i="7" a="1"/>
  <c r="I55" i="7"/>
  <c r="J55" i="7" a="1"/>
  <c r="J55" i="7"/>
  <c r="K55" i="7" a="1"/>
  <c r="K55" i="7"/>
  <c r="L55" i="7" a="1"/>
  <c r="L55" i="7"/>
  <c r="M55" i="7" a="1"/>
  <c r="M55" i="7"/>
  <c r="N55" i="7" a="1"/>
  <c r="N55" i="7"/>
  <c r="B56" i="7" a="1"/>
  <c r="B56" i="7"/>
  <c r="C56" i="7" a="1"/>
  <c r="C56" i="7"/>
  <c r="D56" i="7" a="1"/>
  <c r="D56" i="7"/>
  <c r="E56" i="7" a="1"/>
  <c r="E56" i="7"/>
  <c r="F56" i="7" a="1"/>
  <c r="F56" i="7"/>
  <c r="G56" i="7" a="1"/>
  <c r="G56" i="7"/>
  <c r="H56" i="7" a="1"/>
  <c r="H56" i="7"/>
  <c r="I56" i="7" a="1"/>
  <c r="I56" i="7"/>
  <c r="J56" i="7" a="1"/>
  <c r="J56" i="7"/>
  <c r="K56" i="7" a="1"/>
  <c r="K56" i="7"/>
  <c r="L56" i="7" a="1"/>
  <c r="L56" i="7"/>
  <c r="M56" i="7" a="1"/>
  <c r="M56" i="7"/>
  <c r="N56" i="7" a="1"/>
  <c r="N56" i="7"/>
  <c r="B57" i="7" a="1"/>
  <c r="B57" i="7"/>
  <c r="C57" i="7" a="1"/>
  <c r="C57" i="7"/>
  <c r="D57" i="7" a="1"/>
  <c r="D57" i="7"/>
  <c r="E57" i="7" a="1"/>
  <c r="E57" i="7"/>
  <c r="F57" i="7" a="1"/>
  <c r="F57" i="7"/>
  <c r="G57" i="7" a="1"/>
  <c r="G57" i="7"/>
  <c r="H57" i="7" a="1"/>
  <c r="H57" i="7"/>
  <c r="I57" i="7" a="1"/>
  <c r="I57" i="7"/>
  <c r="J57" i="7" a="1"/>
  <c r="J57" i="7"/>
  <c r="K57" i="7" a="1"/>
  <c r="K57" i="7"/>
  <c r="L57" i="7" a="1"/>
  <c r="L57" i="7"/>
  <c r="M57" i="7" a="1"/>
  <c r="M57" i="7"/>
  <c r="N57" i="7" a="1"/>
  <c r="N57" i="7"/>
  <c r="B58" i="7" a="1"/>
  <c r="B58" i="7"/>
  <c r="C58" i="7" a="1"/>
  <c r="C58" i="7"/>
  <c r="D58" i="7" a="1"/>
  <c r="D58" i="7"/>
  <c r="E58" i="7" a="1"/>
  <c r="E58" i="7"/>
  <c r="F58" i="7" a="1"/>
  <c r="F58" i="7"/>
  <c r="G58" i="7" a="1"/>
  <c r="G58" i="7"/>
  <c r="H58" i="7" a="1"/>
  <c r="H58" i="7"/>
  <c r="I58" i="7" a="1"/>
  <c r="I58" i="7"/>
  <c r="J58" i="7" a="1"/>
  <c r="J58" i="7"/>
  <c r="K58" i="7" a="1"/>
  <c r="K58" i="7"/>
  <c r="L58" i="7" a="1"/>
  <c r="L58" i="7"/>
  <c r="M58" i="7" a="1"/>
  <c r="M58" i="7"/>
  <c r="N58" i="7" a="1"/>
  <c r="N58" i="7"/>
  <c r="B59" i="7" a="1"/>
  <c r="B59" i="7"/>
  <c r="C59" i="7" a="1"/>
  <c r="C59" i="7"/>
  <c r="D59" i="7" a="1"/>
  <c r="D59" i="7"/>
  <c r="E59" i="7" a="1"/>
  <c r="E59" i="7"/>
  <c r="F59" i="7" a="1"/>
  <c r="F59" i="7"/>
  <c r="G59" i="7" a="1"/>
  <c r="G59" i="7"/>
  <c r="H59" i="7" a="1"/>
  <c r="H59" i="7"/>
  <c r="I59" i="7" a="1"/>
  <c r="I59" i="7"/>
  <c r="J59" i="7" a="1"/>
  <c r="J59" i="7"/>
  <c r="K59" i="7" a="1"/>
  <c r="K59" i="7"/>
  <c r="L59" i="7" a="1"/>
  <c r="L59" i="7"/>
  <c r="M59" i="7" a="1"/>
  <c r="M59" i="7"/>
  <c r="N59" i="7" a="1"/>
  <c r="N59" i="7"/>
  <c r="B60" i="7" a="1"/>
  <c r="B60" i="7"/>
  <c r="C60" i="7" a="1"/>
  <c r="C60" i="7"/>
  <c r="D60" i="7" a="1"/>
  <c r="D60" i="7"/>
  <c r="E60" i="7" a="1"/>
  <c r="E60" i="7"/>
  <c r="F60" i="7" a="1"/>
  <c r="F60" i="7"/>
  <c r="G60" i="7" a="1"/>
  <c r="G60" i="7"/>
  <c r="H60" i="7" a="1"/>
  <c r="H60" i="7"/>
  <c r="I60" i="7" a="1"/>
  <c r="I60" i="7"/>
  <c r="J60" i="7" a="1"/>
  <c r="J60" i="7"/>
  <c r="K60" i="7" a="1"/>
  <c r="K60" i="7"/>
  <c r="L60" i="7" a="1"/>
  <c r="L60" i="7"/>
  <c r="M60" i="7" a="1"/>
  <c r="M60" i="7"/>
  <c r="N60" i="7" a="1"/>
  <c r="N60" i="7"/>
  <c r="B61" i="7" a="1"/>
  <c r="B61" i="7"/>
  <c r="C61" i="7" a="1"/>
  <c r="C61" i="7"/>
  <c r="D61" i="7" a="1"/>
  <c r="D61" i="7"/>
  <c r="E61" i="7" a="1"/>
  <c r="E61" i="7"/>
  <c r="F61" i="7" a="1"/>
  <c r="F61" i="7"/>
  <c r="G61" i="7" a="1"/>
  <c r="G61" i="7"/>
  <c r="H61" i="7" a="1"/>
  <c r="H61" i="7"/>
  <c r="I61" i="7" a="1"/>
  <c r="I61" i="7"/>
  <c r="J61" i="7" a="1"/>
  <c r="J61" i="7"/>
  <c r="K61" i="7" a="1"/>
  <c r="K61" i="7"/>
  <c r="L61" i="7" a="1"/>
  <c r="L61" i="7"/>
  <c r="M61" i="7" a="1"/>
  <c r="M61" i="7"/>
  <c r="N61" i="7" a="1"/>
  <c r="N61" i="7"/>
  <c r="B62" i="7" a="1"/>
  <c r="B62" i="7"/>
  <c r="C62" i="7" a="1"/>
  <c r="C62" i="7"/>
  <c r="D62" i="7" a="1"/>
  <c r="D62" i="7"/>
  <c r="E62" i="7" a="1"/>
  <c r="E62" i="7"/>
  <c r="F62" i="7" a="1"/>
  <c r="F62" i="7"/>
  <c r="G62" i="7" a="1"/>
  <c r="G62" i="7"/>
  <c r="H62" i="7" a="1"/>
  <c r="H62" i="7"/>
  <c r="I62" i="7" a="1"/>
  <c r="I62" i="7"/>
  <c r="J62" i="7" a="1"/>
  <c r="J62" i="7"/>
  <c r="K62" i="7" a="1"/>
  <c r="K62" i="7"/>
  <c r="L62" i="7" a="1"/>
  <c r="L62" i="7"/>
  <c r="M62" i="7" a="1"/>
  <c r="M62" i="7"/>
  <c r="N62" i="7" a="1"/>
  <c r="N62" i="7"/>
  <c r="B63" i="7" a="1"/>
  <c r="B63" i="7"/>
  <c r="C63" i="7" a="1"/>
  <c r="C63" i="7"/>
  <c r="D63" i="7" a="1"/>
  <c r="D63" i="7"/>
  <c r="E63" i="7" a="1"/>
  <c r="E63" i="7"/>
  <c r="F63" i="7" a="1"/>
  <c r="F63" i="7"/>
  <c r="G63" i="7" a="1"/>
  <c r="G63" i="7"/>
  <c r="H63" i="7" a="1"/>
  <c r="H63" i="7"/>
  <c r="I63" i="7" a="1"/>
  <c r="I63" i="7"/>
  <c r="J63" i="7" a="1"/>
  <c r="J63" i="7"/>
  <c r="K63" i="7" a="1"/>
  <c r="K63" i="7"/>
  <c r="L63" i="7" a="1"/>
  <c r="L63" i="7"/>
  <c r="M63" i="7" a="1"/>
  <c r="M63" i="7"/>
  <c r="N63" i="7" a="1"/>
  <c r="N63" i="7"/>
  <c r="B64" i="7" a="1"/>
  <c r="B64" i="7"/>
  <c r="C64" i="7" a="1"/>
  <c r="C64" i="7"/>
  <c r="D64" i="7" a="1"/>
  <c r="D64" i="7"/>
  <c r="E64" i="7" a="1"/>
  <c r="E64" i="7"/>
  <c r="F64" i="7" a="1"/>
  <c r="F64" i="7"/>
  <c r="G64" i="7" a="1"/>
  <c r="G64" i="7"/>
  <c r="H64" i="7" a="1"/>
  <c r="H64" i="7"/>
  <c r="I64" i="7" a="1"/>
  <c r="I64" i="7"/>
  <c r="J64" i="7" a="1"/>
  <c r="J64" i="7"/>
  <c r="K64" i="7" a="1"/>
  <c r="K64" i="7"/>
  <c r="L64" i="7" a="1"/>
  <c r="L64" i="7"/>
  <c r="M64" i="7" a="1"/>
  <c r="M64" i="7"/>
  <c r="N64" i="7" a="1"/>
  <c r="N64" i="7"/>
  <c r="B65" i="7" a="1"/>
  <c r="B65" i="7"/>
  <c r="C65" i="7" a="1"/>
  <c r="C65" i="7"/>
  <c r="D65" i="7" a="1"/>
  <c r="D65" i="7"/>
  <c r="E65" i="7" a="1"/>
  <c r="E65" i="7"/>
  <c r="F65" i="7" a="1"/>
  <c r="F65" i="7"/>
  <c r="G65" i="7" a="1"/>
  <c r="G65" i="7"/>
  <c r="H65" i="7" a="1"/>
  <c r="H65" i="7"/>
  <c r="I65" i="7" a="1"/>
  <c r="I65" i="7"/>
  <c r="J65" i="7" a="1"/>
  <c r="J65" i="7"/>
  <c r="K65" i="7" a="1"/>
  <c r="K65" i="7"/>
  <c r="L65" i="7" a="1"/>
  <c r="L65" i="7"/>
  <c r="M65" i="7" a="1"/>
  <c r="M65" i="7"/>
  <c r="N65" i="7" a="1"/>
  <c r="N65" i="7"/>
  <c r="B66" i="7" a="1"/>
  <c r="B66" i="7"/>
  <c r="C66" i="7" a="1"/>
  <c r="C66" i="7"/>
  <c r="D66" i="7" a="1"/>
  <c r="D66" i="7"/>
  <c r="E66" i="7" a="1"/>
  <c r="E66" i="7"/>
  <c r="F66" i="7" a="1"/>
  <c r="F66" i="7"/>
  <c r="G66" i="7" a="1"/>
  <c r="G66" i="7"/>
  <c r="H66" i="7" a="1"/>
  <c r="H66" i="7"/>
  <c r="I66" i="7" a="1"/>
  <c r="I66" i="7"/>
  <c r="J66" i="7" a="1"/>
  <c r="J66" i="7"/>
  <c r="K66" i="7" a="1"/>
  <c r="K66" i="7"/>
  <c r="L66" i="7" a="1"/>
  <c r="L66" i="7"/>
  <c r="M66" i="7" a="1"/>
  <c r="M66" i="7"/>
  <c r="N66" i="7" a="1"/>
  <c r="N66" i="7"/>
  <c r="B67" i="7" a="1"/>
  <c r="B67" i="7"/>
  <c r="C67" i="7" a="1"/>
  <c r="C67" i="7"/>
  <c r="D67" i="7" a="1"/>
  <c r="D67" i="7"/>
  <c r="E67" i="7" a="1"/>
  <c r="E67" i="7"/>
  <c r="F67" i="7" a="1"/>
  <c r="F67" i="7"/>
  <c r="G67" i="7" a="1"/>
  <c r="G67" i="7"/>
  <c r="H67" i="7" a="1"/>
  <c r="H67" i="7"/>
  <c r="I67" i="7" a="1"/>
  <c r="I67" i="7"/>
  <c r="J67" i="7" a="1"/>
  <c r="J67" i="7"/>
  <c r="K67" i="7" a="1"/>
  <c r="K67" i="7"/>
  <c r="L67" i="7" a="1"/>
  <c r="L67" i="7"/>
  <c r="M67" i="7" a="1"/>
  <c r="M67" i="7"/>
  <c r="N67" i="7" a="1"/>
  <c r="N67" i="7"/>
  <c r="B68" i="7" a="1"/>
  <c r="B68" i="7"/>
  <c r="C68" i="7" a="1"/>
  <c r="C68" i="7"/>
  <c r="D68" i="7" a="1"/>
  <c r="D68" i="7"/>
  <c r="E68" i="7" a="1"/>
  <c r="E68" i="7"/>
  <c r="F68" i="7" a="1"/>
  <c r="F68" i="7"/>
  <c r="G68" i="7" a="1"/>
  <c r="G68" i="7"/>
  <c r="H68" i="7" a="1"/>
  <c r="H68" i="7"/>
  <c r="I68" i="7" a="1"/>
  <c r="I68" i="7"/>
  <c r="J68" i="7" a="1"/>
  <c r="J68" i="7"/>
  <c r="K68" i="7" a="1"/>
  <c r="K68" i="7"/>
  <c r="L68" i="7" a="1"/>
  <c r="L68" i="7"/>
  <c r="M68" i="7" a="1"/>
  <c r="M68" i="7"/>
  <c r="N68" i="7" a="1"/>
  <c r="N68" i="7"/>
  <c r="B69" i="7" a="1"/>
  <c r="B69" i="7"/>
  <c r="C69" i="7" a="1"/>
  <c r="C69" i="7"/>
  <c r="D69" i="7" a="1"/>
  <c r="D69" i="7"/>
  <c r="E69" i="7" a="1"/>
  <c r="E69" i="7"/>
  <c r="F69" i="7" a="1"/>
  <c r="F69" i="7"/>
  <c r="G69" i="7" a="1"/>
  <c r="G69" i="7"/>
  <c r="H69" i="7" a="1"/>
  <c r="H69" i="7"/>
  <c r="I69" i="7" a="1"/>
  <c r="I69" i="7"/>
  <c r="J69" i="7" a="1"/>
  <c r="J69" i="7"/>
  <c r="K69" i="7" a="1"/>
  <c r="K69" i="7"/>
  <c r="L69" i="7" a="1"/>
  <c r="L69" i="7"/>
  <c r="M69" i="7" a="1"/>
  <c r="M69" i="7"/>
  <c r="N69" i="7" a="1"/>
  <c r="N69" i="7"/>
  <c r="B70" i="7" a="1"/>
  <c r="B70" i="7"/>
  <c r="C70" i="7" a="1"/>
  <c r="C70" i="7"/>
  <c r="D70" i="7" a="1"/>
  <c r="D70" i="7"/>
  <c r="E70" i="7" a="1"/>
  <c r="E70" i="7"/>
  <c r="F70" i="7" a="1"/>
  <c r="F70" i="7"/>
  <c r="G70" i="7" a="1"/>
  <c r="G70" i="7"/>
  <c r="H70" i="7" a="1"/>
  <c r="H70" i="7"/>
  <c r="I70" i="7" a="1"/>
  <c r="I70" i="7"/>
  <c r="J70" i="7" a="1"/>
  <c r="J70" i="7"/>
  <c r="K70" i="7" a="1"/>
  <c r="K70" i="7"/>
  <c r="L70" i="7" a="1"/>
  <c r="L70" i="7"/>
  <c r="M70" i="7" a="1"/>
  <c r="M70" i="7"/>
  <c r="N70" i="7" a="1"/>
  <c r="N70" i="7"/>
  <c r="B71" i="7" a="1"/>
  <c r="B71" i="7"/>
  <c r="C71" i="7" a="1"/>
  <c r="C71" i="7"/>
  <c r="D71" i="7" a="1"/>
  <c r="D71" i="7"/>
  <c r="E71" i="7" a="1"/>
  <c r="E71" i="7"/>
  <c r="F71" i="7" a="1"/>
  <c r="F71" i="7"/>
  <c r="G71" i="7" a="1"/>
  <c r="G71" i="7"/>
  <c r="H71" i="7" a="1"/>
  <c r="H71" i="7"/>
  <c r="I71" i="7" a="1"/>
  <c r="I71" i="7"/>
  <c r="J71" i="7" a="1"/>
  <c r="J71" i="7"/>
  <c r="K71" i="7" a="1"/>
  <c r="K71" i="7"/>
  <c r="L71" i="7" a="1"/>
  <c r="L71" i="7"/>
  <c r="M71" i="7" a="1"/>
  <c r="M71" i="7"/>
  <c r="N71" i="7" a="1"/>
  <c r="N71" i="7"/>
  <c r="B72" i="7" a="1"/>
  <c r="B72" i="7"/>
  <c r="C72" i="7" a="1"/>
  <c r="C72" i="7"/>
  <c r="D72" i="7" a="1"/>
  <c r="D72" i="7"/>
  <c r="E72" i="7" a="1"/>
  <c r="E72" i="7"/>
  <c r="F72" i="7" a="1"/>
  <c r="F72" i="7"/>
  <c r="G72" i="7" a="1"/>
  <c r="G72" i="7"/>
  <c r="H72" i="7" a="1"/>
  <c r="H72" i="7"/>
  <c r="I72" i="7" a="1"/>
  <c r="I72" i="7"/>
  <c r="J72" i="7" a="1"/>
  <c r="J72" i="7"/>
  <c r="K72" i="7" a="1"/>
  <c r="K72" i="7"/>
  <c r="L72" i="7" a="1"/>
  <c r="L72" i="7"/>
  <c r="M72" i="7" a="1"/>
  <c r="M72" i="7"/>
  <c r="N72" i="7" a="1"/>
  <c r="N72" i="7"/>
  <c r="B73" i="7" a="1"/>
  <c r="B73" i="7"/>
  <c r="C73" i="7" a="1"/>
  <c r="C73" i="7"/>
  <c r="D73" i="7" a="1"/>
  <c r="D73" i="7"/>
  <c r="E73" i="7" a="1"/>
  <c r="E73" i="7"/>
  <c r="F73" i="7" a="1"/>
  <c r="F73" i="7"/>
  <c r="G73" i="7" a="1"/>
  <c r="G73" i="7"/>
  <c r="H73" i="7" a="1"/>
  <c r="H73" i="7"/>
  <c r="I73" i="7" a="1"/>
  <c r="I73" i="7"/>
  <c r="J73" i="7" a="1"/>
  <c r="J73" i="7"/>
  <c r="K73" i="7" a="1"/>
  <c r="K73" i="7"/>
  <c r="L73" i="7" a="1"/>
  <c r="L73" i="7"/>
  <c r="M73" i="7" a="1"/>
  <c r="M73" i="7"/>
  <c r="N73" i="7" a="1"/>
  <c r="N73" i="7"/>
  <c r="B74" i="7" a="1"/>
  <c r="B74" i="7"/>
  <c r="C74" i="7" a="1"/>
  <c r="C74" i="7"/>
  <c r="D74" i="7" a="1"/>
  <c r="D74" i="7"/>
  <c r="E74" i="7" a="1"/>
  <c r="E74" i="7"/>
  <c r="F74" i="7" a="1"/>
  <c r="F74" i="7"/>
  <c r="G74" i="7" a="1"/>
  <c r="G74" i="7"/>
  <c r="H74" i="7" a="1"/>
  <c r="H74" i="7"/>
  <c r="I74" i="7" a="1"/>
  <c r="I74" i="7"/>
  <c r="J74" i="7" a="1"/>
  <c r="J74" i="7"/>
  <c r="K74" i="7" a="1"/>
  <c r="K74" i="7"/>
  <c r="L74" i="7" a="1"/>
  <c r="L74" i="7"/>
  <c r="M74" i="7" a="1"/>
  <c r="M74" i="7"/>
  <c r="N74" i="7" a="1"/>
  <c r="N74" i="7"/>
  <c r="B75" i="7" a="1"/>
  <c r="B75" i="7"/>
  <c r="C75" i="7" a="1"/>
  <c r="C75" i="7"/>
  <c r="D75" i="7" a="1"/>
  <c r="D75" i="7"/>
  <c r="E75" i="7" a="1"/>
  <c r="E75" i="7"/>
  <c r="F75" i="7" a="1"/>
  <c r="F75" i="7"/>
  <c r="G75" i="7" a="1"/>
  <c r="G75" i="7"/>
  <c r="H75" i="7" a="1"/>
  <c r="H75" i="7"/>
  <c r="I75" i="7" a="1"/>
  <c r="I75" i="7"/>
  <c r="J75" i="7" a="1"/>
  <c r="J75" i="7"/>
  <c r="K75" i="7" a="1"/>
  <c r="K75" i="7"/>
  <c r="L75" i="7" a="1"/>
  <c r="L75" i="7"/>
  <c r="M75" i="7" a="1"/>
  <c r="M75" i="7"/>
  <c r="N75" i="7" a="1"/>
  <c r="N75" i="7"/>
  <c r="B76" i="7" a="1"/>
  <c r="B76" i="7"/>
  <c r="C76" i="7" a="1"/>
  <c r="C76" i="7"/>
  <c r="D76" i="7" a="1"/>
  <c r="D76" i="7"/>
  <c r="E76" i="7" a="1"/>
  <c r="E76" i="7"/>
  <c r="F76" i="7" a="1"/>
  <c r="F76" i="7"/>
  <c r="G76" i="7" a="1"/>
  <c r="G76" i="7"/>
  <c r="H76" i="7" a="1"/>
  <c r="H76" i="7"/>
  <c r="I76" i="7" a="1"/>
  <c r="I76" i="7"/>
  <c r="J76" i="7" a="1"/>
  <c r="J76" i="7"/>
  <c r="K76" i="7" a="1"/>
  <c r="K76" i="7"/>
  <c r="L76" i="7" a="1"/>
  <c r="L76" i="7"/>
  <c r="M76" i="7" a="1"/>
  <c r="M76" i="7"/>
  <c r="N76" i="7" a="1"/>
  <c r="N76" i="7"/>
  <c r="B77" i="7" a="1"/>
  <c r="B77" i="7"/>
  <c r="C77" i="7" a="1"/>
  <c r="C77" i="7"/>
  <c r="D77" i="7" a="1"/>
  <c r="D77" i="7"/>
  <c r="E77" i="7" a="1"/>
  <c r="E77" i="7"/>
  <c r="F77" i="7" a="1"/>
  <c r="F77" i="7"/>
  <c r="G77" i="7" a="1"/>
  <c r="G77" i="7"/>
  <c r="H77" i="7" a="1"/>
  <c r="H77" i="7"/>
  <c r="I77" i="7" a="1"/>
  <c r="I77" i="7"/>
  <c r="J77" i="7" a="1"/>
  <c r="J77" i="7"/>
  <c r="K77" i="7" a="1"/>
  <c r="K77" i="7"/>
  <c r="L77" i="7" a="1"/>
  <c r="L77" i="7"/>
  <c r="M77" i="7" a="1"/>
  <c r="M77" i="7"/>
  <c r="N77" i="7" a="1"/>
  <c r="N77" i="7"/>
  <c r="B78" i="7" a="1"/>
  <c r="B78" i="7"/>
  <c r="C78" i="7" a="1"/>
  <c r="C78" i="7"/>
  <c r="D78" i="7" a="1"/>
  <c r="D78" i="7"/>
  <c r="E78" i="7" a="1"/>
  <c r="E78" i="7"/>
  <c r="F78" i="7" a="1"/>
  <c r="F78" i="7"/>
  <c r="G78" i="7" a="1"/>
  <c r="G78" i="7"/>
  <c r="H78" i="7" a="1"/>
  <c r="H78" i="7"/>
  <c r="I78" i="7" a="1"/>
  <c r="I78" i="7"/>
  <c r="J78" i="7" a="1"/>
  <c r="J78" i="7"/>
  <c r="K78" i="7" a="1"/>
  <c r="K78" i="7"/>
  <c r="L78" i="7" a="1"/>
  <c r="L78" i="7"/>
  <c r="M78" i="7" a="1"/>
  <c r="M78" i="7"/>
  <c r="N78" i="7" a="1"/>
  <c r="N78" i="7"/>
  <c r="B79" i="7" a="1"/>
  <c r="B79" i="7"/>
  <c r="C79" i="7" a="1"/>
  <c r="C79" i="7"/>
  <c r="D79" i="7" a="1"/>
  <c r="D79" i="7"/>
  <c r="E79" i="7" a="1"/>
  <c r="E79" i="7"/>
  <c r="F79" i="7" a="1"/>
  <c r="F79" i="7"/>
  <c r="G79" i="7" a="1"/>
  <c r="G79" i="7"/>
  <c r="H79" i="7" a="1"/>
  <c r="H79" i="7"/>
  <c r="I79" i="7" a="1"/>
  <c r="I79" i="7"/>
  <c r="J79" i="7" a="1"/>
  <c r="J79" i="7"/>
  <c r="K79" i="7" a="1"/>
  <c r="K79" i="7"/>
  <c r="L79" i="7" a="1"/>
  <c r="L79" i="7"/>
  <c r="M79" i="7" a="1"/>
  <c r="M79" i="7"/>
  <c r="N79" i="7" a="1"/>
  <c r="N79" i="7"/>
  <c r="E84" i="13" a="1"/>
  <c r="E84" i="13" s="1"/>
  <c r="B83" i="13" a="1"/>
  <c r="B83" i="13" s="1"/>
  <c r="E82" i="13" a="1"/>
  <c r="E82" i="13" s="1"/>
  <c r="D82" i="13" a="1"/>
  <c r="D82" i="13" s="1"/>
  <c r="D84" i="13" a="1"/>
  <c r="D84" i="13" s="1"/>
  <c r="F83" i="13" a="1"/>
  <c r="F83" i="13" s="1"/>
  <c r="C82" i="13" a="1"/>
  <c r="C82" i="13" s="1"/>
  <c r="C84" i="13" a="1"/>
  <c r="C84" i="13" s="1"/>
  <c r="E83" i="13" a="1"/>
  <c r="E83" i="13" s="1"/>
  <c r="B82" i="13" a="1"/>
  <c r="B82" i="13" s="1"/>
  <c r="F82" i="13" a="1"/>
  <c r="F82" i="13" s="1"/>
  <c r="D83" i="13" a="1"/>
  <c r="D83" i="13" s="1"/>
  <c r="B84" i="13" a="1"/>
  <c r="B84" i="13" s="1"/>
  <c r="C83" i="13" a="1"/>
  <c r="C83" i="13" s="1"/>
  <c r="F84" i="13" a="1"/>
  <c r="F84" i="13" s="1"/>
  <c r="D95" i="14"/>
  <c r="E94" i="14"/>
  <c r="D101" i="14"/>
  <c r="F101" i="14"/>
  <c r="E102" i="14"/>
  <c r="D85" i="13"/>
  <c r="E85" i="13"/>
  <c r="F85" i="13"/>
  <c r="B85" i="13"/>
  <c r="D87" i="13" a="1"/>
  <c r="D87" i="13" s="1"/>
  <c r="F87" i="13" a="1"/>
  <c r="F87" i="13" s="1"/>
  <c r="E87" i="13" a="1"/>
  <c r="E87" i="13" s="1"/>
  <c r="B87" i="13" a="1"/>
  <c r="B87" i="13" s="1"/>
  <c r="C87" i="13" a="1"/>
  <c r="C87" i="13" s="1"/>
  <c r="B86" i="13"/>
  <c r="E86" i="13"/>
  <c r="F86" i="13"/>
  <c r="D86" i="13"/>
  <c r="C85" i="13"/>
  <c r="C86" i="13"/>
  <c r="G82" i="7" a="1"/>
  <c r="G82" i="7" s="1"/>
  <c r="H82" i="7" a="1"/>
  <c r="H82" i="7" s="1"/>
  <c r="I82" i="7" a="1"/>
  <c r="I82" i="7" s="1"/>
  <c r="J82" i="7" a="1"/>
  <c r="J82" i="7" s="1"/>
  <c r="K82" i="7" a="1"/>
  <c r="K82" i="7" s="1"/>
  <c r="L82" i="7" a="1"/>
  <c r="L82" i="7" s="1"/>
  <c r="M82" i="7" a="1"/>
  <c r="M82" i="7" s="1"/>
  <c r="N82" i="7" a="1"/>
  <c r="N82" i="7" s="1"/>
  <c r="G83" i="7" a="1"/>
  <c r="G83" i="7" s="1"/>
  <c r="H83" i="7" a="1"/>
  <c r="H83" i="7" s="1"/>
  <c r="I83" i="7" a="1"/>
  <c r="I83" i="7" s="1"/>
  <c r="J83" i="7" a="1"/>
  <c r="J83" i="7" s="1"/>
  <c r="K83" i="7" a="1"/>
  <c r="K83" i="7" s="1"/>
  <c r="L83" i="7" a="1"/>
  <c r="L83" i="7" s="1"/>
  <c r="M83" i="7" a="1"/>
  <c r="M83" i="7" s="1"/>
  <c r="N83" i="7" a="1"/>
  <c r="N83" i="7" s="1"/>
  <c r="G84" i="7" a="1"/>
  <c r="G84" i="7" s="1"/>
  <c r="H84" i="7" a="1"/>
  <c r="H84" i="7" s="1"/>
  <c r="I84" i="7" a="1"/>
  <c r="I84" i="7" s="1"/>
  <c r="J84" i="7" a="1"/>
  <c r="J84" i="7" s="1"/>
  <c r="K84" i="7" a="1"/>
  <c r="K84" i="7" s="1"/>
  <c r="L84" i="7" a="1"/>
  <c r="L84" i="7" s="1"/>
  <c r="M84" i="7" a="1"/>
  <c r="M84" i="7" s="1"/>
  <c r="N84" i="7" a="1"/>
  <c r="N84" i="7" s="1"/>
  <c r="G85" i="7"/>
  <c r="H85" i="7"/>
  <c r="I85" i="7"/>
  <c r="J85" i="7"/>
  <c r="K85" i="7"/>
  <c r="L85" i="7"/>
  <c r="M85" i="7"/>
  <c r="N85" i="7"/>
  <c r="G86" i="7"/>
  <c r="H86" i="7"/>
  <c r="I86" i="7"/>
  <c r="J86" i="7"/>
  <c r="K86" i="7"/>
  <c r="L86" i="7"/>
  <c r="M86" i="7"/>
  <c r="N86" i="7"/>
  <c r="G87" i="7" a="1"/>
  <c r="G87" i="7" s="1"/>
  <c r="H87" i="7" a="1"/>
  <c r="H87" i="7" s="1"/>
  <c r="I87" i="7" a="1"/>
  <c r="I87" i="7" s="1"/>
  <c r="J87" i="7" a="1"/>
  <c r="J87" i="7" s="1"/>
  <c r="K87" i="7" a="1"/>
  <c r="K87" i="7" s="1"/>
  <c r="L87" i="7" a="1"/>
  <c r="L87" i="7" s="1"/>
  <c r="M87" i="7" a="1"/>
  <c r="M87" i="7" s="1"/>
  <c r="N87" i="7" a="1"/>
  <c r="N87" i="7" s="1"/>
  <c r="A89" i="7"/>
  <c r="B89" i="7"/>
  <c r="G89" i="7"/>
  <c r="H89" i="7"/>
  <c r="I89" i="7"/>
  <c r="J89" i="7"/>
  <c r="K89" i="7"/>
  <c r="L89" i="7"/>
  <c r="M89" i="7"/>
  <c r="N89" i="7"/>
  <c r="A90" i="7"/>
  <c r="B90" i="7"/>
  <c r="G90" i="7"/>
  <c r="H90" i="7"/>
  <c r="I90" i="7"/>
  <c r="J90" i="7"/>
  <c r="K90" i="7"/>
  <c r="L90" i="7"/>
  <c r="M90" i="7"/>
  <c r="N90" i="7"/>
  <c r="A91" i="7"/>
  <c r="D91" i="7"/>
  <c r="G91" i="7"/>
  <c r="H91" i="7"/>
  <c r="I91" i="7"/>
  <c r="J91" i="7"/>
  <c r="K91" i="7"/>
  <c r="L91" i="7"/>
  <c r="M91" i="7"/>
  <c r="N91" i="7"/>
  <c r="A92" i="7"/>
  <c r="F92" i="7"/>
  <c r="G92" i="7"/>
  <c r="H92" i="7"/>
  <c r="I92" i="7"/>
  <c r="J92" i="7"/>
  <c r="K92" i="7"/>
  <c r="L92" i="7"/>
  <c r="M92" i="7"/>
  <c r="N92" i="7"/>
  <c r="A93" i="7"/>
  <c r="B93" i="7"/>
  <c r="F93" i="7"/>
  <c r="G93" i="7"/>
  <c r="H93" i="7"/>
  <c r="I93" i="7"/>
  <c r="J93" i="7"/>
  <c r="K93" i="7"/>
  <c r="L93" i="7"/>
  <c r="M93" i="7"/>
  <c r="N93" i="7"/>
  <c r="A94" i="7"/>
  <c r="B94" i="7"/>
  <c r="G94" i="7"/>
  <c r="H94" i="7"/>
  <c r="I94" i="7"/>
  <c r="J94" i="7"/>
  <c r="K94" i="7"/>
  <c r="L94" i="7"/>
  <c r="M94" i="7"/>
  <c r="N94" i="7"/>
  <c r="A95" i="7"/>
  <c r="D95" i="7"/>
  <c r="B95" i="7"/>
  <c r="C95" i="7"/>
  <c r="E95" i="7"/>
  <c r="G95" i="7"/>
  <c r="H95" i="7"/>
  <c r="I95" i="7"/>
  <c r="J95" i="7"/>
  <c r="K95" i="7"/>
  <c r="L95" i="7"/>
  <c r="M95" i="7"/>
  <c r="N95" i="7"/>
  <c r="A96" i="7"/>
  <c r="F96" i="7"/>
  <c r="C96" i="7"/>
  <c r="D96" i="7"/>
  <c r="E96" i="7"/>
  <c r="G96" i="7"/>
  <c r="H96" i="7"/>
  <c r="I96" i="7"/>
  <c r="J96" i="7"/>
  <c r="K96" i="7"/>
  <c r="L96" i="7"/>
  <c r="M96" i="7"/>
  <c r="N96" i="7"/>
  <c r="A97" i="7"/>
  <c r="B97" i="7"/>
  <c r="F97" i="7"/>
  <c r="G97" i="7"/>
  <c r="H97" i="7"/>
  <c r="I97" i="7"/>
  <c r="J97" i="7"/>
  <c r="K97" i="7"/>
  <c r="L97" i="7"/>
  <c r="M97" i="7"/>
  <c r="N97" i="7"/>
  <c r="A98" i="7"/>
  <c r="B98" i="7"/>
  <c r="G98" i="7"/>
  <c r="H98" i="7"/>
  <c r="I98" i="7"/>
  <c r="J98" i="7"/>
  <c r="K98" i="7"/>
  <c r="L98" i="7"/>
  <c r="M98" i="7"/>
  <c r="N98" i="7"/>
  <c r="A99" i="7"/>
  <c r="D99" i="7"/>
  <c r="B99" i="7"/>
  <c r="C99" i="7"/>
  <c r="E99" i="7"/>
  <c r="G99" i="7"/>
  <c r="H99" i="7"/>
  <c r="I99" i="7"/>
  <c r="J99" i="7"/>
  <c r="K99" i="7"/>
  <c r="L99" i="7"/>
  <c r="M99" i="7"/>
  <c r="N99" i="7"/>
  <c r="A100" i="7"/>
  <c r="F100" i="7"/>
  <c r="C100" i="7"/>
  <c r="D100" i="7"/>
  <c r="G100" i="7"/>
  <c r="H100" i="7"/>
  <c r="I100" i="7"/>
  <c r="J100" i="7"/>
  <c r="K100" i="7"/>
  <c r="L100" i="7"/>
  <c r="M100" i="7"/>
  <c r="N100" i="7"/>
  <c r="A101" i="7"/>
  <c r="B101" i="7"/>
  <c r="F101" i="7"/>
  <c r="G101" i="7"/>
  <c r="H101" i="7"/>
  <c r="I101" i="7"/>
  <c r="J101" i="7"/>
  <c r="K101" i="7"/>
  <c r="L101" i="7"/>
  <c r="M101" i="7"/>
  <c r="N101" i="7"/>
  <c r="A102" i="7"/>
  <c r="B102" i="7"/>
  <c r="G102" i="7"/>
  <c r="H102" i="7"/>
  <c r="I102" i="7"/>
  <c r="J102" i="7"/>
  <c r="K102" i="7"/>
  <c r="L102" i="7"/>
  <c r="M102" i="7"/>
  <c r="N102" i="7"/>
  <c r="A103" i="7"/>
  <c r="D103" i="7"/>
  <c r="B103" i="7"/>
  <c r="C103" i="7"/>
  <c r="G103" i="7"/>
  <c r="H103" i="7"/>
  <c r="I103" i="7"/>
  <c r="J103" i="7"/>
  <c r="K103" i="7"/>
  <c r="L103" i="7"/>
  <c r="M103" i="7"/>
  <c r="N103" i="7"/>
  <c r="A104" i="7"/>
  <c r="F104" i="7"/>
  <c r="C104" i="7"/>
  <c r="D104" i="7"/>
  <c r="G104" i="7"/>
  <c r="H104" i="7"/>
  <c r="I104" i="7"/>
  <c r="J104" i="7"/>
  <c r="K104" i="7"/>
  <c r="L104" i="7"/>
  <c r="M104" i="7"/>
  <c r="N104" i="7"/>
  <c r="A105" i="7"/>
  <c r="B105" i="7"/>
  <c r="F105" i="7"/>
  <c r="G105" i="7"/>
  <c r="H105" i="7"/>
  <c r="I105" i="7"/>
  <c r="J105" i="7"/>
  <c r="K105" i="7"/>
  <c r="L105" i="7"/>
  <c r="M105" i="7"/>
  <c r="N105" i="7"/>
  <c r="A106" i="7"/>
  <c r="B106" i="7"/>
  <c r="G106" i="7"/>
  <c r="H106" i="7"/>
  <c r="I106" i="7"/>
  <c r="J106" i="7"/>
  <c r="K106" i="7"/>
  <c r="L106" i="7"/>
  <c r="M106" i="7"/>
  <c r="N106" i="7"/>
  <c r="A107" i="7"/>
  <c r="D107" i="7"/>
  <c r="B107" i="7"/>
  <c r="C107" i="7"/>
  <c r="G107" i="7"/>
  <c r="H107" i="7"/>
  <c r="I107" i="7"/>
  <c r="J107" i="7"/>
  <c r="K107" i="7"/>
  <c r="L107" i="7"/>
  <c r="M107" i="7"/>
  <c r="N107" i="7"/>
  <c r="A108" i="7"/>
  <c r="F108" i="7"/>
  <c r="C108" i="7"/>
  <c r="G108" i="7"/>
  <c r="H108" i="7"/>
  <c r="I108" i="7"/>
  <c r="J108" i="7"/>
  <c r="K108" i="7"/>
  <c r="L108" i="7"/>
  <c r="M108" i="7"/>
  <c r="N108" i="7"/>
  <c r="A109" i="7"/>
  <c r="B109" i="7"/>
  <c r="F109" i="7"/>
  <c r="G109" i="7"/>
  <c r="H109" i="7"/>
  <c r="I109" i="7"/>
  <c r="J109" i="7"/>
  <c r="K109" i="7"/>
  <c r="L109" i="7"/>
  <c r="M109" i="7"/>
  <c r="N109" i="7"/>
  <c r="A110" i="7"/>
  <c r="B110" i="7"/>
  <c r="G110" i="7"/>
  <c r="H110" i="7"/>
  <c r="I110" i="7"/>
  <c r="J110" i="7"/>
  <c r="K110" i="7"/>
  <c r="L110" i="7"/>
  <c r="M110" i="7"/>
  <c r="N110" i="7"/>
  <c r="A111" i="7"/>
  <c r="D111" i="7"/>
  <c r="B111" i="7"/>
  <c r="G111" i="7"/>
  <c r="H111" i="7"/>
  <c r="I111" i="7"/>
  <c r="J111" i="7"/>
  <c r="K111" i="7"/>
  <c r="L111" i="7"/>
  <c r="M111" i="7"/>
  <c r="N111" i="7"/>
  <c r="A112" i="7"/>
  <c r="F112" i="7"/>
  <c r="C112" i="7"/>
  <c r="G112" i="7"/>
  <c r="H112" i="7"/>
  <c r="I112" i="7"/>
  <c r="J112" i="7"/>
  <c r="K112" i="7"/>
  <c r="L112" i="7"/>
  <c r="M112" i="7"/>
  <c r="N112" i="7"/>
  <c r="A113" i="7"/>
  <c r="B113" i="7"/>
  <c r="G113" i="7"/>
  <c r="H113" i="7"/>
  <c r="I113" i="7"/>
  <c r="J113" i="7"/>
  <c r="K113" i="7"/>
  <c r="L113" i="7"/>
  <c r="M113" i="7"/>
  <c r="N113" i="7"/>
  <c r="A114" i="7"/>
  <c r="B114" i="7"/>
  <c r="G114" i="7"/>
  <c r="H114" i="7"/>
  <c r="I114" i="7"/>
  <c r="J114" i="7"/>
  <c r="K114" i="7"/>
  <c r="L114" i="7"/>
  <c r="M114" i="7"/>
  <c r="N114" i="7"/>
  <c r="A115" i="7"/>
  <c r="D115" i="7"/>
  <c r="B115" i="7"/>
  <c r="G115" i="7"/>
  <c r="H115" i="7"/>
  <c r="I115" i="7"/>
  <c r="J115" i="7"/>
  <c r="K115" i="7"/>
  <c r="L115" i="7"/>
  <c r="M115" i="7"/>
  <c r="N115" i="7"/>
  <c r="A116" i="7"/>
  <c r="F116" i="7"/>
  <c r="G116" i="7"/>
  <c r="H116" i="7"/>
  <c r="I116" i="7"/>
  <c r="J116" i="7"/>
  <c r="K116" i="7"/>
  <c r="L116" i="7"/>
  <c r="M116" i="7"/>
  <c r="N116" i="7"/>
  <c r="A117" i="7"/>
  <c r="B117" i="7"/>
  <c r="F117" i="7"/>
  <c r="G117" i="7"/>
  <c r="H117" i="7"/>
  <c r="I117" i="7"/>
  <c r="J117" i="7"/>
  <c r="K117" i="7"/>
  <c r="L117" i="7"/>
  <c r="M117" i="7"/>
  <c r="N117" i="7"/>
  <c r="A118" i="7"/>
  <c r="B118" i="7"/>
  <c r="G118" i="7"/>
  <c r="H118" i="7"/>
  <c r="I118" i="7"/>
  <c r="J118" i="7"/>
  <c r="K118" i="7"/>
  <c r="L118" i="7"/>
  <c r="M118" i="7"/>
  <c r="N118" i="7"/>
  <c r="A119" i="7"/>
  <c r="D119" i="7"/>
  <c r="G119" i="7"/>
  <c r="H119" i="7"/>
  <c r="I119" i="7"/>
  <c r="J119" i="7"/>
  <c r="K119" i="7"/>
  <c r="L119" i="7"/>
  <c r="M119" i="7"/>
  <c r="N119" i="7"/>
  <c r="A120" i="7"/>
  <c r="F120" i="7"/>
  <c r="C120" i="7"/>
  <c r="G120" i="7"/>
  <c r="H120" i="7"/>
  <c r="I120" i="7"/>
  <c r="J120" i="7"/>
  <c r="K120" i="7"/>
  <c r="L120" i="7"/>
  <c r="M120" i="7"/>
  <c r="N120" i="7"/>
  <c r="A121" i="7"/>
  <c r="B121" i="7"/>
  <c r="G121" i="7"/>
  <c r="H121" i="7"/>
  <c r="I121" i="7"/>
  <c r="J121" i="7"/>
  <c r="K121" i="7"/>
  <c r="L121" i="7"/>
  <c r="M121" i="7"/>
  <c r="N121" i="7"/>
  <c r="A122" i="7"/>
  <c r="B122" i="7"/>
  <c r="G122" i="7"/>
  <c r="H122" i="7"/>
  <c r="I122" i="7"/>
  <c r="J122" i="7"/>
  <c r="K122" i="7"/>
  <c r="L122" i="7"/>
  <c r="M122" i="7"/>
  <c r="N122" i="7"/>
  <c r="A123" i="7"/>
  <c r="D123" i="7"/>
  <c r="B123" i="7"/>
  <c r="G123" i="7"/>
  <c r="H123" i="7"/>
  <c r="I123" i="7"/>
  <c r="J123" i="7"/>
  <c r="K123" i="7"/>
  <c r="L123" i="7"/>
  <c r="M123" i="7"/>
  <c r="N123" i="7"/>
  <c r="A124" i="7"/>
  <c r="F124" i="7"/>
  <c r="G124" i="7"/>
  <c r="H124" i="7"/>
  <c r="I124" i="7"/>
  <c r="J124" i="7"/>
  <c r="K124" i="7"/>
  <c r="L124" i="7"/>
  <c r="M124" i="7"/>
  <c r="N124" i="7"/>
  <c r="A125" i="7"/>
  <c r="B125" i="7"/>
  <c r="F125" i="7"/>
  <c r="G125" i="7"/>
  <c r="H125" i="7"/>
  <c r="I125" i="7"/>
  <c r="J125" i="7"/>
  <c r="K125" i="7"/>
  <c r="L125" i="7"/>
  <c r="M125" i="7"/>
  <c r="N125" i="7"/>
  <c r="C90" i="7"/>
  <c r="E124" i="7"/>
  <c r="C122" i="7"/>
  <c r="E119" i="7"/>
  <c r="E116" i="7"/>
  <c r="C114" i="7"/>
  <c r="E111" i="7"/>
  <c r="E108" i="7"/>
  <c r="C106" i="7"/>
  <c r="E103" i="7"/>
  <c r="E100" i="7"/>
  <c r="C98" i="7"/>
  <c r="E92" i="7"/>
  <c r="D124" i="7"/>
  <c r="C119" i="7"/>
  <c r="D116" i="7"/>
  <c r="C111" i="7"/>
  <c r="D108" i="7"/>
  <c r="D92" i="7"/>
  <c r="F89" i="7"/>
  <c r="C124" i="7"/>
  <c r="F121" i="7"/>
  <c r="B119" i="7"/>
  <c r="C116" i="7"/>
  <c r="F113" i="7"/>
  <c r="E91" i="7"/>
  <c r="E123" i="7"/>
  <c r="E120" i="7"/>
  <c r="C118" i="7"/>
  <c r="E115" i="7"/>
  <c r="E112" i="7"/>
  <c r="C110" i="7"/>
  <c r="E107" i="7"/>
  <c r="E104" i="7"/>
  <c r="C102" i="7"/>
  <c r="C94" i="7"/>
  <c r="C91" i="7"/>
  <c r="C123" i="7"/>
  <c r="D120" i="7"/>
  <c r="C115" i="7"/>
  <c r="D112" i="7"/>
  <c r="B91" i="7"/>
  <c r="E125" i="7"/>
  <c r="E121" i="7"/>
  <c r="E117" i="7"/>
  <c r="E113" i="7"/>
  <c r="E109" i="7"/>
  <c r="E105" i="7"/>
  <c r="E101" i="7"/>
  <c r="E97" i="7"/>
  <c r="E93" i="7"/>
  <c r="C92" i="7"/>
  <c r="E89" i="7"/>
  <c r="D125" i="7"/>
  <c r="B124" i="7"/>
  <c r="F122" i="7"/>
  <c r="D121" i="7"/>
  <c r="B120" i="7"/>
  <c r="F118" i="7"/>
  <c r="D117" i="7"/>
  <c r="B116" i="7"/>
  <c r="F114" i="7"/>
  <c r="D113" i="7"/>
  <c r="B112" i="7"/>
  <c r="F110" i="7"/>
  <c r="D109" i="7"/>
  <c r="B108" i="7"/>
  <c r="F106" i="7"/>
  <c r="D105" i="7"/>
  <c r="B104" i="7"/>
  <c r="F102" i="7"/>
  <c r="D101" i="7"/>
  <c r="B100" i="7"/>
  <c r="F98" i="7"/>
  <c r="D97" i="7"/>
  <c r="B96" i="7"/>
  <c r="F94" i="7"/>
  <c r="D93" i="7"/>
  <c r="B92" i="7"/>
  <c r="F90" i="7"/>
  <c r="D89" i="7"/>
  <c r="C125" i="7"/>
  <c r="E122" i="7"/>
  <c r="C121" i="7"/>
  <c r="E118" i="7"/>
  <c r="C117" i="7"/>
  <c r="E114" i="7"/>
  <c r="C113" i="7"/>
  <c r="E110" i="7"/>
  <c r="C109" i="7"/>
  <c r="E106" i="7"/>
  <c r="C105" i="7"/>
  <c r="E102" i="7"/>
  <c r="C101" i="7"/>
  <c r="E98" i="7"/>
  <c r="C97" i="7"/>
  <c r="E94" i="7"/>
  <c r="C93" i="7"/>
  <c r="E90" i="7"/>
  <c r="C89" i="7"/>
  <c r="F123" i="7"/>
  <c r="D122" i="7"/>
  <c r="F119" i="7"/>
  <c r="D118" i="7"/>
  <c r="F115" i="7"/>
  <c r="D114" i="7"/>
  <c r="F111" i="7"/>
  <c r="D110" i="7"/>
  <c r="F107" i="7"/>
  <c r="D106" i="7"/>
  <c r="F103" i="7"/>
  <c r="D102" i="7"/>
  <c r="F99" i="7"/>
  <c r="D98" i="7"/>
  <c r="F95" i="7"/>
  <c r="D94" i="7"/>
  <c r="F91" i="7"/>
  <c r="D90" i="7"/>
  <c r="M44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N42" i="2"/>
  <c r="N44" i="2"/>
  <c r="M42" i="2"/>
  <c r="L42" i="2"/>
  <c r="K42" i="2"/>
  <c r="K44" i="2"/>
  <c r="J42" i="2"/>
  <c r="J44" i="2"/>
  <c r="I42" i="2"/>
  <c r="I44" i="2"/>
  <c r="H42" i="2"/>
  <c r="H44" i="2"/>
  <c r="H45" i="2"/>
  <c r="G42" i="2"/>
  <c r="G44" i="2"/>
  <c r="G45" i="2"/>
  <c r="F42" i="2"/>
  <c r="F44" i="2"/>
  <c r="E42" i="2"/>
  <c r="D42" i="2"/>
  <c r="C42" i="2"/>
  <c r="C44" i="2"/>
  <c r="B42" i="2"/>
  <c r="B41" i="2"/>
  <c r="B44" i="2"/>
  <c r="N41" i="2"/>
  <c r="M41" i="2"/>
  <c r="M45" i="2"/>
  <c r="L41" i="2"/>
  <c r="K41" i="2"/>
  <c r="K45" i="2"/>
  <c r="J41" i="2"/>
  <c r="J45" i="2"/>
  <c r="I41" i="2"/>
  <c r="I45" i="2"/>
  <c r="H41" i="2"/>
  <c r="G41" i="2"/>
  <c r="F41" i="2"/>
  <c r="E41" i="2"/>
  <c r="D41" i="2"/>
  <c r="C41" i="2"/>
  <c r="C45" i="2"/>
  <c r="B45" i="2"/>
  <c r="N1" i="2"/>
  <c r="M1" i="2"/>
  <c r="L1" i="2"/>
  <c r="K1" i="2"/>
  <c r="J1" i="2"/>
  <c r="I1" i="2"/>
  <c r="H1" i="2"/>
  <c r="G1" i="2"/>
  <c r="F1" i="2"/>
  <c r="E1" i="2"/>
  <c r="D1" i="2"/>
  <c r="C1" i="2"/>
  <c r="D45" i="2"/>
  <c r="F45" i="2"/>
  <c r="N45" i="2"/>
  <c r="D44" i="2"/>
  <c r="L44" i="2"/>
  <c r="L45" i="2"/>
  <c r="E44" i="2"/>
  <c r="E45" i="2"/>
  <c r="D84" i="14" a="1"/>
  <c r="F83" i="14" a="1"/>
  <c r="E82" i="7" a="1"/>
  <c r="F83" i="7" a="1"/>
  <c r="F84" i="7" a="1"/>
  <c r="C84" i="7" a="1"/>
  <c r="C83" i="14" a="1"/>
  <c r="D83" i="7" a="1"/>
  <c r="B84" i="14" a="1"/>
  <c r="D82" i="7" a="1"/>
  <c r="E84" i="7" a="1"/>
  <c r="B82" i="7" a="1"/>
  <c r="B83" i="7" a="1"/>
  <c r="D83" i="14" a="1"/>
  <c r="B84" i="7" a="1"/>
  <c r="E84" i="14" a="1"/>
  <c r="E83" i="7" a="1"/>
  <c r="B82" i="14" a="1"/>
  <c r="F82" i="14" a="1"/>
  <c r="D82" i="14" a="1"/>
  <c r="D84" i="7" a="1"/>
  <c r="C82" i="7" a="1"/>
  <c r="E82" i="14" a="1"/>
  <c r="F82" i="7" a="1"/>
  <c r="B83" i="14" a="1"/>
  <c r="C84" i="14" a="1"/>
  <c r="F84" i="14" a="1"/>
  <c r="C83" i="7" a="1"/>
  <c r="C82" i="14" a="1"/>
  <c r="E83" i="14" a="1"/>
  <c r="E118" i="14" l="1"/>
  <c r="D102" i="14"/>
  <c r="B94" i="14"/>
  <c r="C102" i="14"/>
  <c r="B102" i="14"/>
  <c r="F94" i="14"/>
  <c r="C94" i="14"/>
  <c r="E101" i="14"/>
  <c r="E93" i="14"/>
  <c r="B101" i="14"/>
  <c r="C117" i="14"/>
  <c r="F117" i="14"/>
  <c r="B125" i="14"/>
  <c r="B119" i="14"/>
  <c r="D103" i="14"/>
  <c r="B103" i="14"/>
  <c r="E119" i="14"/>
  <c r="F95" i="14"/>
  <c r="E110" i="14"/>
  <c r="C118" i="14"/>
  <c r="F110" i="14"/>
  <c r="D109" i="14"/>
  <c r="D111" i="14"/>
  <c r="C93" i="14"/>
  <c r="D125" i="14"/>
  <c r="C95" i="14"/>
  <c r="F93" i="14"/>
  <c r="B109" i="14"/>
  <c r="D117" i="14"/>
  <c r="F103" i="14"/>
  <c r="D119" i="14"/>
  <c r="C103" i="14"/>
  <c r="F119" i="14"/>
  <c r="D93" i="14"/>
  <c r="E125" i="14"/>
  <c r="E124" i="14"/>
  <c r="B108" i="14"/>
  <c r="B124" i="14"/>
  <c r="D100" i="14"/>
  <c r="E92" i="14"/>
  <c r="F111" i="14"/>
  <c r="B95" i="14"/>
  <c r="B111" i="14"/>
  <c r="D116" i="14"/>
  <c r="E111" i="14"/>
  <c r="B115" i="14"/>
  <c r="D112" i="14"/>
  <c r="D104" i="14"/>
  <c r="C124" i="14"/>
  <c r="F92" i="14"/>
  <c r="C100" i="14"/>
  <c r="F100" i="14"/>
  <c r="C116" i="14"/>
  <c r="F116" i="14"/>
  <c r="F124" i="14"/>
  <c r="C99" i="14"/>
  <c r="E91" i="14"/>
  <c r="B91" i="14"/>
  <c r="F107" i="14"/>
  <c r="D123" i="14"/>
  <c r="C91" i="14"/>
  <c r="C107" i="14"/>
  <c r="B99" i="14"/>
  <c r="E99" i="14"/>
  <c r="E123" i="14"/>
  <c r="B90" i="14"/>
  <c r="D122" i="14"/>
  <c r="E122" i="14"/>
  <c r="C114" i="14"/>
  <c r="B122" i="14"/>
  <c r="B114" i="14"/>
  <c r="D90" i="14"/>
  <c r="B98" i="14"/>
  <c r="C106" i="14"/>
  <c r="E113" i="14"/>
  <c r="B121" i="14"/>
  <c r="C92" i="14"/>
  <c r="E98" i="14"/>
  <c r="F106" i="14"/>
  <c r="F108" i="14"/>
  <c r="B105" i="14"/>
  <c r="D114" i="14"/>
  <c r="C108" i="14"/>
  <c r="E90" i="14"/>
  <c r="E97" i="14"/>
  <c r="C98" i="14"/>
  <c r="D106" i="14"/>
  <c r="D108" i="14"/>
  <c r="C113" i="14"/>
  <c r="E114" i="14"/>
  <c r="D89" i="14"/>
  <c r="D113" i="14"/>
  <c r="D92" i="14"/>
  <c r="F98" i="14"/>
  <c r="B100" i="14"/>
  <c r="B116" i="14"/>
  <c r="D97" i="14"/>
  <c r="F122" i="14"/>
  <c r="E89" i="14"/>
  <c r="C90" i="14"/>
  <c r="B106" i="14"/>
  <c r="B113" i="14"/>
  <c r="F125" i="14"/>
  <c r="E82" i="14"/>
  <c r="F82" i="14"/>
  <c r="D83" i="14"/>
  <c r="F83" i="14"/>
  <c r="D84" i="14"/>
  <c r="E83" i="14"/>
  <c r="E84" i="14"/>
  <c r="D82" i="14"/>
  <c r="F84" i="14"/>
  <c r="D107" i="14"/>
  <c r="C120" i="14"/>
  <c r="B107" i="14"/>
  <c r="B89" i="14"/>
  <c r="B97" i="14"/>
  <c r="B104" i="14"/>
  <c r="E105" i="14"/>
  <c r="B112" i="14"/>
  <c r="E115" i="14"/>
  <c r="B123" i="14"/>
  <c r="E104" i="14"/>
  <c r="F91" i="14"/>
  <c r="E96" i="14"/>
  <c r="F99" i="14"/>
  <c r="C105" i="14"/>
  <c r="C115" i="14"/>
  <c r="E121" i="14"/>
  <c r="C89" i="14"/>
  <c r="C97" i="14"/>
  <c r="C104" i="14"/>
  <c r="F105" i="14"/>
  <c r="C112" i="14"/>
  <c r="F115" i="14"/>
  <c r="C123" i="14"/>
  <c r="D96" i="14"/>
  <c r="E112" i="14"/>
  <c r="D121" i="14"/>
  <c r="C96" i="14"/>
  <c r="F121" i="14"/>
  <c r="B96" i="14"/>
  <c r="E120" i="14"/>
  <c r="D120" i="14"/>
  <c r="F120" i="14"/>
  <c r="D84" i="7"/>
  <c r="D83" i="7"/>
  <c r="F84" i="7"/>
  <c r="B84" i="7"/>
  <c r="C83" i="7"/>
  <c r="D82" i="7"/>
  <c r="F82" i="7"/>
  <c r="C84" i="7"/>
  <c r="C82" i="7"/>
  <c r="E84" i="7"/>
  <c r="F83" i="7"/>
  <c r="B82" i="14"/>
  <c r="E83" i="7"/>
  <c r="B83" i="7"/>
  <c r="B82" i="7"/>
  <c r="B84" i="14"/>
  <c r="C82" i="14"/>
  <c r="B83" i="14"/>
  <c r="C84" i="14"/>
  <c r="E82" i="7"/>
  <c r="C83" i="14"/>
  <c r="D87" i="14" a="1"/>
  <c r="C87" i="7" a="1"/>
  <c r="E87" i="7" a="1"/>
  <c r="B87" i="14" a="1"/>
  <c r="B87" i="7" a="1"/>
  <c r="F87" i="7" a="1"/>
  <c r="E87" i="14" a="1"/>
  <c r="C87" i="14" a="1"/>
  <c r="D87" i="7" a="1"/>
  <c r="F87" i="14" a="1"/>
  <c r="F85" i="14" l="1"/>
  <c r="F86" i="14" s="1"/>
  <c r="D87" i="14"/>
  <c r="F87" i="14"/>
  <c r="E87" i="14"/>
  <c r="C85" i="14"/>
  <c r="E85" i="14"/>
  <c r="E86" i="14" s="1"/>
  <c r="D85" i="14"/>
  <c r="D86" i="14" s="1"/>
  <c r="E85" i="7"/>
  <c r="E86" i="7" s="1"/>
  <c r="C85" i="7"/>
  <c r="C86" i="7" s="1"/>
  <c r="B85" i="14"/>
  <c r="B87" i="14"/>
  <c r="C87" i="14"/>
  <c r="D85" i="7"/>
  <c r="D86" i="7" s="1"/>
  <c r="D87" i="7"/>
  <c r="E87" i="7"/>
  <c r="F87" i="7"/>
  <c r="B87" i="7"/>
  <c r="C87" i="7"/>
  <c r="B85" i="7"/>
  <c r="B86" i="7" s="1"/>
  <c r="F85" i="7"/>
  <c r="F86" i="7" s="1"/>
  <c r="C86" i="14" l="1"/>
  <c r="R82" i="14"/>
  <c r="B86" i="14"/>
  <c r="B88" i="14"/>
  <c r="Q81" i="14" s="1"/>
  <c r="Q82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<sst xmlns="http://schemas.openxmlformats.org/spreadsheetml/2006/main" count="22" uniqueCount="6">
  <si>
    <t>a</t>
    <phoneticPr fontId="1"/>
  </si>
  <si>
    <t>b</t>
    <phoneticPr fontId="1"/>
  </si>
  <si>
    <t>c</t>
    <phoneticPr fontId="1"/>
  </si>
  <si>
    <t>軸</t>
    <rPh sb="0" eb="1">
      <t>ジク</t>
    </rPh>
    <phoneticPr fontId="1"/>
  </si>
  <si>
    <t>最小値</t>
  </si>
  <si>
    <t>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</si>
</sst>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\ &quot;分&quot;"/>
    <numFmt numFmtId="177" formatCode="General\ &quot;g/L&quot;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56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56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3" borderId="4" xfId="0" applyFill="1" applyBorder="1">
      <alignment vertical="center"/>
    </xf>
  </cellXfs>
  <cellStyles count="1">
    <cellStyle name="標準" xfId="0" builtinId="0"/>
  </cellStyles>
  <dxfs count="79">
    <dxf>
      <fill>
        <patternFill>
          <bgColor rgb="FFFF0000"/>
        </patternFill>
      </fill>
    </dxf>
    <dxf>
      <font>
        <color rgb="FFDAE9F8"/>
      </font>
      <fill>
        <patternFill patternType="solid">
          <bgColor rgb="FFDAE9F8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DAE9F8"/>
      </font>
      <fill>
        <patternFill patternType="solid">
          <bgColor rgb="FFDAE9F8"/>
        </patternFill>
      </fill>
    </dxf>
    <dxf>
      <font>
        <b/>
        <color rgb="FFFFFFFF"/>
      </font>
      <fill>
        <patternFill patternType="solid">
          <bgColor rgb="FFBE5014"/>
        </patternFill>
      </fill>
    </dxf>
    <dxf>
      <font>
        <b/>
        <color rgb="FF000000"/>
      </font>
    </dxf>
    <dxf>
      <font>
        <b/>
        <color rgb="FFFFFFFF"/>
      </font>
      <fill>
        <patternFill patternType="solid">
          <bgColor rgb="FF196B24"/>
        </patternFill>
      </fill>
    </dxf>
    <dxf>
      <font>
        <color rgb="FFBFBFBF"/>
      </font>
    </dxf>
    <dxf>
      <font>
        <b/>
        <color rgb="FFFFFFFF"/>
      </font>
      <fill>
        <patternFill patternType="solid">
          <bgColor rgb="FFBE50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AE9F8"/>
      </font>
      <fill>
        <patternFill patternType="solid">
          <bgColor rgb="FFDAE9F8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FFFFFF"/>
      </font>
    </dxf>
    <dxf>
      <font>
        <b/>
        <color rgb="FFFFFFFF"/>
      </font>
      <fill>
        <patternFill patternType="solid">
          <bgColor rgb="FFBE5014"/>
        </patternFill>
      </fill>
    </dxf>
    <dxf>
      <font>
        <b/>
        <color rgb="FF000000"/>
      </font>
    </dxf>
    <dxf>
      <font>
        <b/>
        <color rgb="FFFFFFFF"/>
      </font>
      <fill>
        <patternFill patternType="solid">
          <bgColor rgb="FF196B24"/>
        </patternFill>
      </fill>
    </dxf>
    <dxf>
      <font>
        <color rgb="FFBFBFBF"/>
      </font>
    </dxf>
    <dxf>
      <font>
        <b/>
        <color rgb="FFFFFFFF"/>
      </font>
      <fill>
        <patternFill patternType="solid">
          <bgColor rgb="FFBE5014"/>
        </patternFill>
      </fill>
    </dxf>
    <dxf>
      <font>
        <color rgb="FFA6C9EC"/>
      </font>
      <fill>
        <patternFill patternType="solid">
          <bgColor rgb="FFA6C9EC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DAE9F8"/>
      </font>
      <fill>
        <patternFill patternType="solid">
          <bgColor rgb="FFDAE9F8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DAE9F8"/>
      </font>
      <fill>
        <patternFill patternType="solid">
          <bgColor rgb="FFDAE9F8"/>
        </patternFill>
      </fill>
    </dxf>
    <dxf>
      <font>
        <b/>
        <color rgb="FFFFFFFF"/>
      </font>
      <fill>
        <patternFill patternType="solid">
          <bgColor rgb="FFBE5014"/>
        </patternFill>
      </fill>
    </dxf>
    <dxf>
      <font>
        <b/>
        <color rgb="FF000000"/>
      </font>
    </dxf>
    <dxf>
      <font>
        <b/>
        <color rgb="FFFFFFFF"/>
      </font>
      <fill>
        <patternFill patternType="solid">
          <bgColor rgb="FF196B24"/>
        </patternFill>
      </fill>
    </dxf>
    <dxf>
      <font>
        <color rgb="FFBFBFBF"/>
      </font>
    </dxf>
    <dxf>
      <font>
        <b/>
        <color rgb="FFFFFFFF"/>
      </font>
      <fill>
        <patternFill patternType="solid">
          <bgColor rgb="FFBE50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AE9F8"/>
      </font>
      <fill>
        <patternFill patternType="solid">
          <bgColor rgb="FFDAE9F8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FFFFFF"/>
      </font>
    </dxf>
    <dxf>
      <font>
        <b/>
        <color rgb="FFFFFFFF"/>
      </font>
      <fill>
        <patternFill patternType="solid">
          <bgColor rgb="FFBE5014"/>
        </patternFill>
      </fill>
    </dxf>
    <dxf>
      <font>
        <b/>
        <color rgb="FF000000"/>
      </font>
    </dxf>
    <dxf>
      <font>
        <b/>
        <color rgb="FFFFFFFF"/>
      </font>
      <fill>
        <patternFill patternType="solid">
          <bgColor rgb="FF196B24"/>
        </patternFill>
      </fill>
    </dxf>
    <dxf>
      <font>
        <color rgb="FFBFBFBF"/>
      </font>
    </dxf>
    <dxf>
      <font>
        <b/>
        <color rgb="FFFFFFFF"/>
      </font>
      <fill>
        <patternFill patternType="solid">
          <bgColor rgb="FFBE5014"/>
        </patternFill>
      </fill>
    </dxf>
    <dxf>
      <font>
        <color rgb="FFA6C9EC"/>
      </font>
      <fill>
        <patternFill patternType="solid">
          <bgColor rgb="FFA6C9EC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DAE9F8"/>
      </font>
      <fill>
        <patternFill patternType="solid">
          <bgColor rgb="FFDAE9F8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DAE9F8"/>
      </font>
      <fill>
        <patternFill patternType="solid">
          <bgColor rgb="FFDAE9F8"/>
        </patternFill>
      </fill>
    </dxf>
    <dxf>
      <font>
        <b/>
        <color rgb="FFFFFFFF"/>
      </font>
      <fill>
        <patternFill patternType="solid">
          <bgColor rgb="FFBE5014"/>
        </patternFill>
      </fill>
    </dxf>
    <dxf>
      <font>
        <b/>
        <color rgb="FF000000"/>
      </font>
    </dxf>
    <dxf>
      <font>
        <b/>
        <color rgb="FFFFFFFF"/>
      </font>
      <fill>
        <patternFill patternType="solid">
          <bgColor rgb="FF196B24"/>
        </patternFill>
      </fill>
    </dxf>
    <dxf>
      <font>
        <color rgb="FFBFBFBF"/>
      </font>
    </dxf>
    <dxf>
      <font>
        <b/>
        <color rgb="FFFFFFFF"/>
      </font>
      <fill>
        <patternFill patternType="solid">
          <bgColor rgb="FFBE5014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AE9F8"/>
      </font>
      <fill>
        <patternFill patternType="solid">
          <bgColor rgb="FFDAE9F8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FFFFFF"/>
      </font>
    </dxf>
    <dxf>
      <font>
        <b/>
        <color rgb="FFFFFFFF"/>
      </font>
      <fill>
        <patternFill patternType="solid">
          <bgColor rgb="FFBE5014"/>
        </patternFill>
      </fill>
    </dxf>
    <dxf>
      <font>
        <b/>
        <color rgb="FF000000"/>
      </font>
    </dxf>
    <dxf>
      <font>
        <b/>
        <color rgb="FFFFFFFF"/>
      </font>
      <fill>
        <patternFill patternType="solid">
          <bgColor rgb="FF196B24"/>
        </patternFill>
      </fill>
    </dxf>
    <dxf>
      <font>
        <color rgb="FFBFBFBF"/>
      </font>
    </dxf>
    <dxf>
      <font>
        <b/>
        <color rgb="FFFFFFFF"/>
      </font>
      <fill>
        <patternFill patternType="solid">
          <bgColor rgb="FFBE5014"/>
        </patternFill>
      </fill>
    </dxf>
    <dxf>
      <font>
        <color rgb="FFA6C9EC"/>
      </font>
      <fill>
        <patternFill patternType="solid">
          <bgColor rgb="FFA6C9EC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FFFFFF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454986650536883E-2"/>
          <c:y val="2.2892061917550586E-2"/>
          <c:w val="0.95345938202543179"/>
          <c:h val="0.93992019253180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temp!$B$1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temp!$B$3:$B$39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8B9-422B-9597-1CA3AA9481F4}"/>
            </c:ext>
          </c:extLst>
        </c:ser>
        <c:ser>
          <c:idx val="1"/>
          <c:order val="1"/>
          <c:tx>
            <c:strRef>
              <c:f>temp!$C$1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temp!$C$3:$C$39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8B9-422B-9597-1CA3AA9481F4}"/>
            </c:ext>
          </c:extLst>
        </c:ser>
        <c:ser>
          <c:idx val="2"/>
          <c:order val="2"/>
          <c:tx>
            <c:strRef>
              <c:f>temp!$D$1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temp!$D$3:$D$39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8B9-422B-9597-1CA3AA9481F4}"/>
            </c:ext>
          </c:extLst>
        </c:ser>
        <c:ser>
          <c:idx val="3"/>
          <c:order val="3"/>
          <c:tx>
            <c:strRef>
              <c:f>temp!$E$1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temp!$E$3:$E$39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8B9-422B-9597-1CA3AA9481F4}"/>
            </c:ext>
          </c:extLst>
        </c:ser>
        <c:ser>
          <c:idx val="4"/>
          <c:order val="4"/>
          <c:tx>
            <c:strRef>
              <c:f>temp!$F$1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temp!$F$3:$F$39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8B9-422B-9597-1CA3AA9481F4}"/>
            </c:ext>
          </c:extLst>
        </c:ser>
        <c:ser>
          <c:idx val="5"/>
          <c:order val="5"/>
          <c:tx>
            <c:strRef>
              <c:f>temp!$G$1</c:f>
              <c:strCache>
                <c:ptCount val="1"/>
              </c:strCache>
            </c:strRef>
          </c:tx>
          <c:spPr>
            <a:ln w="19050" cap="rnd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temp!$G$3:$G$39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D8B9-422B-9597-1CA3AA9481F4}"/>
            </c:ext>
          </c:extLst>
        </c:ser>
        <c:ser>
          <c:idx val="6"/>
          <c:order val="6"/>
          <c:tx>
            <c:strRef>
              <c:f>temp!$H$1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temp!$H$3:$H$39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8B9-422B-9597-1CA3AA9481F4}"/>
            </c:ext>
          </c:extLst>
        </c:ser>
        <c:ser>
          <c:idx val="7"/>
          <c:order val="7"/>
          <c:tx>
            <c:strRef>
              <c:f>temp!$I$1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temp!$I$3:$I$39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8B9-422B-9597-1CA3AA9481F4}"/>
            </c:ext>
          </c:extLst>
        </c:ser>
        <c:ser>
          <c:idx val="8"/>
          <c:order val="8"/>
          <c:tx>
            <c:strRef>
              <c:f>temp!$J$1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temp!$J$3:$J$39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D8B9-422B-9597-1CA3AA9481F4}"/>
            </c:ext>
          </c:extLst>
        </c:ser>
        <c:ser>
          <c:idx val="9"/>
          <c:order val="9"/>
          <c:tx>
            <c:strRef>
              <c:f>temp!$K$1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temp!$K$3:$K$39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8B9-422B-9597-1CA3AA9481F4}"/>
            </c:ext>
          </c:extLst>
        </c:ser>
        <c:ser>
          <c:idx val="11"/>
          <c:order val="10"/>
          <c:tx>
            <c:strRef>
              <c:f>temp!$L$1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temp!$L$3:$L$39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D8B9-422B-9597-1CA3AA9481F4}"/>
            </c:ext>
          </c:extLst>
        </c:ser>
        <c:ser>
          <c:idx val="12"/>
          <c:order val="11"/>
          <c:tx>
            <c:strRef>
              <c:f>temp!$M$1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temp!$M$3:$M$39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D8B9-422B-9597-1CA3AA9481F4}"/>
            </c:ext>
          </c:extLst>
        </c:ser>
        <c:ser>
          <c:idx val="10"/>
          <c:order val="12"/>
          <c:tx>
            <c:strRef>
              <c:f>temp!$N$1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temp!$A$3:$A$39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temp!$N$3:$N$39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D8B9-422B-9597-1CA3AA948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467528"/>
        <c:axId val="670122896"/>
        <c:extLst/>
      </c:scatterChart>
      <c:valAx>
        <c:axId val="56446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0122896"/>
        <c:crosses val="autoZero"/>
        <c:crossBetween val="midCat"/>
      </c:valAx>
      <c:valAx>
        <c:axId val="6701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46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454986650536883E-2"/>
          <c:y val="2.2892061917550586E-2"/>
          <c:w val="0.95345938202543179"/>
          <c:h val="0.93992019253180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temp!$B$1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temp!$B$89:$B$125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F2E-47E2-B84A-BDD2C251C6BC}"/>
            </c:ext>
          </c:extLst>
        </c:ser>
        <c:ser>
          <c:idx val="1"/>
          <c:order val="1"/>
          <c:tx>
            <c:strRef>
              <c:f>temp!$C$1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temp!$C$89:$C$125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F2E-47E2-B84A-BDD2C251C6BC}"/>
            </c:ext>
          </c:extLst>
        </c:ser>
        <c:ser>
          <c:idx val="2"/>
          <c:order val="2"/>
          <c:tx>
            <c:strRef>
              <c:f>temp!$D$1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temp!$D$89:$D$125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F2E-47E2-B84A-BDD2C251C6BC}"/>
            </c:ext>
          </c:extLst>
        </c:ser>
        <c:ser>
          <c:idx val="3"/>
          <c:order val="3"/>
          <c:tx>
            <c:strRef>
              <c:f>temp!$E$1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temp!$E$89:$E$125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F2E-47E2-B84A-BDD2C251C6BC}"/>
            </c:ext>
          </c:extLst>
        </c:ser>
        <c:ser>
          <c:idx val="4"/>
          <c:order val="4"/>
          <c:tx>
            <c:strRef>
              <c:f>temp!$F$1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temp!$F$89:$F$125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8F2E-47E2-B84A-BDD2C251C6BC}"/>
            </c:ext>
          </c:extLst>
        </c:ser>
        <c:ser>
          <c:idx val="5"/>
          <c:order val="5"/>
          <c:tx>
            <c:strRef>
              <c:f>temp!$G$1</c:f>
              <c:strCache>
                <c:ptCount val="1"/>
              </c:strCache>
            </c:strRef>
          </c:tx>
          <c:spPr>
            <a:ln w="19050" cap="rnd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temp!$G$89:$G$125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8F2E-47E2-B84A-BDD2C251C6BC}"/>
            </c:ext>
          </c:extLst>
        </c:ser>
        <c:ser>
          <c:idx val="6"/>
          <c:order val="6"/>
          <c:tx>
            <c:strRef>
              <c:f>temp!$H$1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temp!$H$89:$H$125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F2E-47E2-B84A-BDD2C251C6BC}"/>
            </c:ext>
          </c:extLst>
        </c:ser>
        <c:ser>
          <c:idx val="7"/>
          <c:order val="7"/>
          <c:tx>
            <c:strRef>
              <c:f>temp!$I$1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temp!$I$89:$I$125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8F2E-47E2-B84A-BDD2C251C6BC}"/>
            </c:ext>
          </c:extLst>
        </c:ser>
        <c:ser>
          <c:idx val="8"/>
          <c:order val="8"/>
          <c:tx>
            <c:strRef>
              <c:f>temp!$J$1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temp!$J$89:$J$125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8F2E-47E2-B84A-BDD2C251C6BC}"/>
            </c:ext>
          </c:extLst>
        </c:ser>
        <c:ser>
          <c:idx val="9"/>
          <c:order val="9"/>
          <c:tx>
            <c:strRef>
              <c:f>temp!$K$1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temp!$K$89:$K$125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8F2E-47E2-B84A-BDD2C251C6BC}"/>
            </c:ext>
          </c:extLst>
        </c:ser>
        <c:ser>
          <c:idx val="11"/>
          <c:order val="10"/>
          <c:tx>
            <c:strRef>
              <c:f>temp!$L$1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temp!$L$89:$L$125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8F2E-47E2-B84A-BDD2C251C6BC}"/>
            </c:ext>
          </c:extLst>
        </c:ser>
        <c:ser>
          <c:idx val="12"/>
          <c:order val="11"/>
          <c:tx>
            <c:strRef>
              <c:f>temp!$M$1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temp!$M$89:$M$125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8F2E-47E2-B84A-BDD2C251C6BC}"/>
            </c:ext>
          </c:extLst>
        </c:ser>
        <c:ser>
          <c:idx val="10"/>
          <c:order val="12"/>
          <c:tx>
            <c:strRef>
              <c:f>temp!$N$1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temp!$A$89:$A$125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temp!$N$89:$N$125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8F2E-47E2-B84A-BDD2C251C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467528"/>
        <c:axId val="670122896"/>
        <c:extLst/>
      </c:scatterChart>
      <c:valAx>
        <c:axId val="56446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0122896"/>
        <c:crosses val="autoZero"/>
        <c:crossBetween val="midCat"/>
      </c:valAx>
      <c:valAx>
        <c:axId val="6701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46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454986650536883E-2"/>
          <c:y val="2.2892061917550586E-2"/>
          <c:w val="0.95345938202543179"/>
          <c:h val="0.93992019253180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'0820'!$B$1</c:f>
              <c:strCache>
                <c:ptCount val="1"/>
                <c:pt idx="0">
                  <c:v>15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'0820'!$B$3:$B$39</c:f>
              <c:numCache>
                <c:formatCode>General</c:formatCode>
                <c:ptCount val="37"/>
                <c:pt idx="0">
                  <c:v>332.7</c:v>
                </c:pt>
                <c:pt idx="1">
                  <c:v>403</c:v>
                </c:pt>
                <c:pt idx="2">
                  <c:v>262.3</c:v>
                </c:pt>
                <c:pt idx="3">
                  <c:v>470</c:v>
                </c:pt>
                <c:pt idx="4">
                  <c:v>196.9</c:v>
                </c:pt>
                <c:pt idx="5">
                  <c:v>532</c:v>
                </c:pt>
                <c:pt idx="6">
                  <c:v>137.30000000000001</c:v>
                </c:pt>
                <c:pt idx="7">
                  <c:v>601</c:v>
                </c:pt>
                <c:pt idx="8">
                  <c:v>92.9</c:v>
                </c:pt>
                <c:pt idx="9">
                  <c:v>659</c:v>
                </c:pt>
                <c:pt idx="10">
                  <c:v>56.3</c:v>
                </c:pt>
                <c:pt idx="11">
                  <c:v>716</c:v>
                </c:pt>
                <c:pt idx="12">
                  <c:v>26.5</c:v>
                </c:pt>
                <c:pt idx="13">
                  <c:v>747</c:v>
                </c:pt>
                <c:pt idx="14">
                  <c:v>12.73</c:v>
                </c:pt>
                <c:pt idx="15">
                  <c:v>785</c:v>
                </c:pt>
                <c:pt idx="16">
                  <c:v>12.54</c:v>
                </c:pt>
                <c:pt idx="17">
                  <c:v>805</c:v>
                </c:pt>
                <c:pt idx="18">
                  <c:v>27.3</c:v>
                </c:pt>
                <c:pt idx="19">
                  <c:v>819</c:v>
                </c:pt>
                <c:pt idx="20">
                  <c:v>54.6</c:v>
                </c:pt>
                <c:pt idx="21">
                  <c:v>824</c:v>
                </c:pt>
                <c:pt idx="22">
                  <c:v>90.6</c:v>
                </c:pt>
                <c:pt idx="23">
                  <c:v>820</c:v>
                </c:pt>
                <c:pt idx="24">
                  <c:v>136.80000000000001</c:v>
                </c:pt>
                <c:pt idx="25">
                  <c:v>800</c:v>
                </c:pt>
                <c:pt idx="26">
                  <c:v>192.5</c:v>
                </c:pt>
                <c:pt idx="27">
                  <c:v>774</c:v>
                </c:pt>
                <c:pt idx="28">
                  <c:v>251.9</c:v>
                </c:pt>
                <c:pt idx="29">
                  <c:v>729</c:v>
                </c:pt>
                <c:pt idx="30">
                  <c:v>324.39999999999998</c:v>
                </c:pt>
                <c:pt idx="31">
                  <c:v>686</c:v>
                </c:pt>
                <c:pt idx="32">
                  <c:v>387.9</c:v>
                </c:pt>
                <c:pt idx="33">
                  <c:v>628</c:v>
                </c:pt>
                <c:pt idx="34">
                  <c:v>465</c:v>
                </c:pt>
                <c:pt idx="35">
                  <c:v>568</c:v>
                </c:pt>
                <c:pt idx="36">
                  <c:v>528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1F7D-4B78-9C92-A60BE093B23D}"/>
            </c:ext>
          </c:extLst>
        </c:ser>
        <c:ser>
          <c:idx val="1"/>
          <c:order val="1"/>
          <c:tx>
            <c:strRef>
              <c:f>'0820'!$C$1</c:f>
              <c:strCache>
                <c:ptCount val="1"/>
                <c:pt idx="0">
                  <c:v>30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'0820'!$C$3:$C$39</c:f>
              <c:numCache>
                <c:formatCode>General</c:formatCode>
                <c:ptCount val="37"/>
                <c:pt idx="0">
                  <c:v>226.5</c:v>
                </c:pt>
                <c:pt idx="1">
                  <c:v>283</c:v>
                </c:pt>
                <c:pt idx="2">
                  <c:v>163.1</c:v>
                </c:pt>
                <c:pt idx="3">
                  <c:v>344.6</c:v>
                </c:pt>
                <c:pt idx="4">
                  <c:v>115.8</c:v>
                </c:pt>
                <c:pt idx="5">
                  <c:v>407</c:v>
                </c:pt>
                <c:pt idx="6">
                  <c:v>76.900000000000006</c:v>
                </c:pt>
                <c:pt idx="7">
                  <c:v>471</c:v>
                </c:pt>
                <c:pt idx="8">
                  <c:v>40</c:v>
                </c:pt>
                <c:pt idx="9">
                  <c:v>536</c:v>
                </c:pt>
                <c:pt idx="10">
                  <c:v>20.76</c:v>
                </c:pt>
                <c:pt idx="11">
                  <c:v>592</c:v>
                </c:pt>
                <c:pt idx="12">
                  <c:v>11.01</c:v>
                </c:pt>
                <c:pt idx="13">
                  <c:v>650</c:v>
                </c:pt>
                <c:pt idx="14">
                  <c:v>11.92</c:v>
                </c:pt>
                <c:pt idx="15">
                  <c:v>695</c:v>
                </c:pt>
                <c:pt idx="16">
                  <c:v>22.65</c:v>
                </c:pt>
                <c:pt idx="17">
                  <c:v>733</c:v>
                </c:pt>
                <c:pt idx="18">
                  <c:v>45.9</c:v>
                </c:pt>
                <c:pt idx="19">
                  <c:v>758</c:v>
                </c:pt>
                <c:pt idx="20">
                  <c:v>77.3</c:v>
                </c:pt>
                <c:pt idx="21">
                  <c:v>776</c:v>
                </c:pt>
                <c:pt idx="22">
                  <c:v>125.1</c:v>
                </c:pt>
                <c:pt idx="23">
                  <c:v>781</c:v>
                </c:pt>
                <c:pt idx="24">
                  <c:v>171.8</c:v>
                </c:pt>
                <c:pt idx="25">
                  <c:v>776</c:v>
                </c:pt>
                <c:pt idx="26">
                  <c:v>230.02</c:v>
                </c:pt>
                <c:pt idx="27">
                  <c:v>760</c:v>
                </c:pt>
                <c:pt idx="28">
                  <c:v>294.2</c:v>
                </c:pt>
                <c:pt idx="29">
                  <c:v>730</c:v>
                </c:pt>
                <c:pt idx="30">
                  <c:v>361.5</c:v>
                </c:pt>
                <c:pt idx="31">
                  <c:v>693</c:v>
                </c:pt>
                <c:pt idx="32">
                  <c:v>430</c:v>
                </c:pt>
                <c:pt idx="33">
                  <c:v>642</c:v>
                </c:pt>
                <c:pt idx="34">
                  <c:v>497</c:v>
                </c:pt>
                <c:pt idx="35">
                  <c:v>593</c:v>
                </c:pt>
                <c:pt idx="36">
                  <c:v>562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F7D-4B78-9C92-A60BE093B23D}"/>
            </c:ext>
          </c:extLst>
        </c:ser>
        <c:ser>
          <c:idx val="2"/>
          <c:order val="2"/>
          <c:tx>
            <c:strRef>
              <c:f>'0820'!$D$1</c:f>
              <c:strCache>
                <c:ptCount val="1"/>
                <c:pt idx="0">
                  <c:v>45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'0820'!$D$3:$D$39</c:f>
              <c:numCache>
                <c:formatCode>General</c:formatCode>
                <c:ptCount val="37"/>
                <c:pt idx="0">
                  <c:v>178.6</c:v>
                </c:pt>
                <c:pt idx="1">
                  <c:v>235.9</c:v>
                </c:pt>
                <c:pt idx="2">
                  <c:v>125.5</c:v>
                </c:pt>
                <c:pt idx="3">
                  <c:v>285.10000000000002</c:v>
                </c:pt>
                <c:pt idx="4">
                  <c:v>81.8</c:v>
                </c:pt>
                <c:pt idx="5">
                  <c:v>349.1</c:v>
                </c:pt>
                <c:pt idx="6">
                  <c:v>48.7</c:v>
                </c:pt>
                <c:pt idx="7">
                  <c:v>416</c:v>
                </c:pt>
                <c:pt idx="8">
                  <c:v>24.85</c:v>
                </c:pt>
                <c:pt idx="9">
                  <c:v>480</c:v>
                </c:pt>
                <c:pt idx="10">
                  <c:v>11.97</c:v>
                </c:pt>
                <c:pt idx="11">
                  <c:v>541</c:v>
                </c:pt>
                <c:pt idx="12">
                  <c:v>9.33</c:v>
                </c:pt>
                <c:pt idx="13">
                  <c:v>597</c:v>
                </c:pt>
                <c:pt idx="14">
                  <c:v>16.46</c:v>
                </c:pt>
                <c:pt idx="15">
                  <c:v>646</c:v>
                </c:pt>
                <c:pt idx="16">
                  <c:v>37.450000000000003</c:v>
                </c:pt>
                <c:pt idx="17">
                  <c:v>686</c:v>
                </c:pt>
                <c:pt idx="18">
                  <c:v>63.9</c:v>
                </c:pt>
                <c:pt idx="19">
                  <c:v>721</c:v>
                </c:pt>
                <c:pt idx="20">
                  <c:v>106</c:v>
                </c:pt>
                <c:pt idx="21">
                  <c:v>746</c:v>
                </c:pt>
                <c:pt idx="22">
                  <c:v>152.4</c:v>
                </c:pt>
                <c:pt idx="23">
                  <c:v>761</c:v>
                </c:pt>
                <c:pt idx="24">
                  <c:v>203.4</c:v>
                </c:pt>
                <c:pt idx="25">
                  <c:v>761</c:v>
                </c:pt>
                <c:pt idx="26">
                  <c:v>260.7</c:v>
                </c:pt>
                <c:pt idx="27">
                  <c:v>750</c:v>
                </c:pt>
                <c:pt idx="28">
                  <c:v>335</c:v>
                </c:pt>
                <c:pt idx="29">
                  <c:v>728</c:v>
                </c:pt>
                <c:pt idx="30">
                  <c:v>401</c:v>
                </c:pt>
                <c:pt idx="31">
                  <c:v>695</c:v>
                </c:pt>
                <c:pt idx="32">
                  <c:v>466</c:v>
                </c:pt>
                <c:pt idx="33">
                  <c:v>657</c:v>
                </c:pt>
                <c:pt idx="34">
                  <c:v>530</c:v>
                </c:pt>
                <c:pt idx="35">
                  <c:v>616</c:v>
                </c:pt>
                <c:pt idx="36">
                  <c:v>584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F7D-4B78-9C92-A60BE093B23D}"/>
            </c:ext>
          </c:extLst>
        </c:ser>
        <c:ser>
          <c:idx val="3"/>
          <c:order val="3"/>
          <c:tx>
            <c:strRef>
              <c:f>'0820'!$E$1</c:f>
              <c:strCache>
                <c:ptCount val="1"/>
                <c:pt idx="0">
                  <c:v>60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'0820'!$E$3:$E$39</c:f>
              <c:numCache>
                <c:formatCode>General</c:formatCode>
                <c:ptCount val="37"/>
                <c:pt idx="0">
                  <c:v>155.80000000000001</c:v>
                </c:pt>
                <c:pt idx="1">
                  <c:v>200.2</c:v>
                </c:pt>
                <c:pt idx="2">
                  <c:v>101.4</c:v>
                </c:pt>
                <c:pt idx="3">
                  <c:v>261.7</c:v>
                </c:pt>
                <c:pt idx="4">
                  <c:v>65.599999999999994</c:v>
                </c:pt>
                <c:pt idx="5">
                  <c:v>317.89999999999998</c:v>
                </c:pt>
                <c:pt idx="6">
                  <c:v>36.08</c:v>
                </c:pt>
                <c:pt idx="7">
                  <c:v>379</c:v>
                </c:pt>
                <c:pt idx="8">
                  <c:v>17.57</c:v>
                </c:pt>
                <c:pt idx="9">
                  <c:v>442</c:v>
                </c:pt>
                <c:pt idx="10">
                  <c:v>8.75</c:v>
                </c:pt>
                <c:pt idx="11">
                  <c:v>501</c:v>
                </c:pt>
                <c:pt idx="12">
                  <c:v>11.55</c:v>
                </c:pt>
                <c:pt idx="13">
                  <c:v>570</c:v>
                </c:pt>
                <c:pt idx="14">
                  <c:v>25.12</c:v>
                </c:pt>
                <c:pt idx="15">
                  <c:v>624</c:v>
                </c:pt>
                <c:pt idx="16">
                  <c:v>47.1</c:v>
                </c:pt>
                <c:pt idx="17">
                  <c:v>666</c:v>
                </c:pt>
                <c:pt idx="18">
                  <c:v>82.3</c:v>
                </c:pt>
                <c:pt idx="19">
                  <c:v>703</c:v>
                </c:pt>
                <c:pt idx="20">
                  <c:v>127</c:v>
                </c:pt>
                <c:pt idx="21">
                  <c:v>734</c:v>
                </c:pt>
                <c:pt idx="22">
                  <c:v>177.9</c:v>
                </c:pt>
                <c:pt idx="23">
                  <c:v>752</c:v>
                </c:pt>
                <c:pt idx="24">
                  <c:v>231.3</c:v>
                </c:pt>
                <c:pt idx="25">
                  <c:v>758</c:v>
                </c:pt>
                <c:pt idx="26">
                  <c:v>292.3</c:v>
                </c:pt>
                <c:pt idx="27">
                  <c:v>753</c:v>
                </c:pt>
                <c:pt idx="28">
                  <c:v>358.7</c:v>
                </c:pt>
                <c:pt idx="29">
                  <c:v>734</c:v>
                </c:pt>
                <c:pt idx="30">
                  <c:v>426</c:v>
                </c:pt>
                <c:pt idx="31">
                  <c:v>711</c:v>
                </c:pt>
                <c:pt idx="32">
                  <c:v>489</c:v>
                </c:pt>
                <c:pt idx="33">
                  <c:v>672</c:v>
                </c:pt>
                <c:pt idx="34">
                  <c:v>558</c:v>
                </c:pt>
                <c:pt idx="35">
                  <c:v>630</c:v>
                </c:pt>
                <c:pt idx="36">
                  <c:v>601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F7D-4B78-9C92-A60BE093B23D}"/>
            </c:ext>
          </c:extLst>
        </c:ser>
        <c:ser>
          <c:idx val="4"/>
          <c:order val="4"/>
          <c:tx>
            <c:strRef>
              <c:f>'0820'!$F$1</c:f>
              <c:strCache>
                <c:ptCount val="1"/>
                <c:pt idx="0">
                  <c:v>120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'0820'!$F$3:$F$39</c:f>
              <c:numCache>
                <c:formatCode>General</c:formatCode>
                <c:ptCount val="37"/>
                <c:pt idx="0">
                  <c:v>127.5</c:v>
                </c:pt>
                <c:pt idx="1">
                  <c:v>177.8</c:v>
                </c:pt>
                <c:pt idx="2">
                  <c:v>84.3</c:v>
                </c:pt>
                <c:pt idx="3">
                  <c:v>236.8</c:v>
                </c:pt>
                <c:pt idx="4">
                  <c:v>49.5</c:v>
                </c:pt>
                <c:pt idx="5">
                  <c:v>304.7</c:v>
                </c:pt>
                <c:pt idx="6">
                  <c:v>26.57</c:v>
                </c:pt>
                <c:pt idx="7">
                  <c:v>367</c:v>
                </c:pt>
                <c:pt idx="8">
                  <c:v>12.05</c:v>
                </c:pt>
                <c:pt idx="9">
                  <c:v>438</c:v>
                </c:pt>
                <c:pt idx="10">
                  <c:v>9.5</c:v>
                </c:pt>
                <c:pt idx="11">
                  <c:v>505</c:v>
                </c:pt>
                <c:pt idx="12">
                  <c:v>18.93</c:v>
                </c:pt>
                <c:pt idx="13">
                  <c:v>569</c:v>
                </c:pt>
                <c:pt idx="14">
                  <c:v>37.96</c:v>
                </c:pt>
                <c:pt idx="15">
                  <c:v>633</c:v>
                </c:pt>
                <c:pt idx="16">
                  <c:v>70.599999999999994</c:v>
                </c:pt>
                <c:pt idx="17">
                  <c:v>684</c:v>
                </c:pt>
                <c:pt idx="18">
                  <c:v>113</c:v>
                </c:pt>
                <c:pt idx="19">
                  <c:v>727</c:v>
                </c:pt>
                <c:pt idx="20">
                  <c:v>159</c:v>
                </c:pt>
                <c:pt idx="21">
                  <c:v>765</c:v>
                </c:pt>
                <c:pt idx="22">
                  <c:v>210</c:v>
                </c:pt>
                <c:pt idx="23">
                  <c:v>790</c:v>
                </c:pt>
                <c:pt idx="24">
                  <c:v>275</c:v>
                </c:pt>
                <c:pt idx="25">
                  <c:v>802</c:v>
                </c:pt>
                <c:pt idx="26">
                  <c:v>343</c:v>
                </c:pt>
                <c:pt idx="27">
                  <c:v>803</c:v>
                </c:pt>
                <c:pt idx="28">
                  <c:v>405</c:v>
                </c:pt>
                <c:pt idx="29">
                  <c:v>793</c:v>
                </c:pt>
                <c:pt idx="30">
                  <c:v>476</c:v>
                </c:pt>
                <c:pt idx="31">
                  <c:v>771</c:v>
                </c:pt>
                <c:pt idx="32">
                  <c:v>543</c:v>
                </c:pt>
                <c:pt idx="33">
                  <c:v>735</c:v>
                </c:pt>
                <c:pt idx="34">
                  <c:v>613</c:v>
                </c:pt>
                <c:pt idx="35">
                  <c:v>694</c:v>
                </c:pt>
                <c:pt idx="36">
                  <c:v>668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F7D-4B78-9C92-A60BE093B23D}"/>
            </c:ext>
          </c:extLst>
        </c:ser>
        <c:ser>
          <c:idx val="5"/>
          <c:order val="5"/>
          <c:tx>
            <c:strRef>
              <c:f>'0820'!$G$1</c:f>
              <c:strCache>
                <c:ptCount val="1"/>
              </c:strCache>
            </c:strRef>
          </c:tx>
          <c:spPr>
            <a:ln w="19050" cap="rnd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'0820'!$G$3:$G$39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1F7D-4B78-9C92-A60BE093B23D}"/>
            </c:ext>
          </c:extLst>
        </c:ser>
        <c:ser>
          <c:idx val="6"/>
          <c:order val="6"/>
          <c:tx>
            <c:strRef>
              <c:f>'0820'!$H$1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'0820'!$H$3:$H$39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1F7D-4B78-9C92-A60BE093B23D}"/>
            </c:ext>
          </c:extLst>
        </c:ser>
        <c:ser>
          <c:idx val="7"/>
          <c:order val="7"/>
          <c:tx>
            <c:strRef>
              <c:f>'0820'!$I$1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'0820'!$I$3:$I$39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F7D-4B78-9C92-A60BE093B23D}"/>
            </c:ext>
          </c:extLst>
        </c:ser>
        <c:ser>
          <c:idx val="8"/>
          <c:order val="8"/>
          <c:tx>
            <c:strRef>
              <c:f>'0820'!$J$1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'0820'!$J$3:$J$39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1F7D-4B78-9C92-A60BE093B23D}"/>
            </c:ext>
          </c:extLst>
        </c:ser>
        <c:ser>
          <c:idx val="9"/>
          <c:order val="9"/>
          <c:tx>
            <c:strRef>
              <c:f>'0820'!$K$1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'0820'!$K$3:$K$39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1F7D-4B78-9C92-A60BE093B23D}"/>
            </c:ext>
          </c:extLst>
        </c:ser>
        <c:ser>
          <c:idx val="11"/>
          <c:order val="10"/>
          <c:tx>
            <c:strRef>
              <c:f>'0820'!$L$1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'0820'!$L$3:$L$39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1F7D-4B78-9C92-A60BE093B23D}"/>
            </c:ext>
          </c:extLst>
        </c:ser>
        <c:ser>
          <c:idx val="12"/>
          <c:order val="11"/>
          <c:tx>
            <c:strRef>
              <c:f>'0820'!$M$1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'0820'!$M$3:$M$39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1F7D-4B78-9C92-A60BE093B23D}"/>
            </c:ext>
          </c:extLst>
        </c:ser>
        <c:ser>
          <c:idx val="10"/>
          <c:order val="12"/>
          <c:tx>
            <c:strRef>
              <c:f>'0820'!$N$1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'0820'!$A$3:$A$39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'0820'!$N$3:$N$39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1F7D-4B78-9C92-A60BE093B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467528"/>
        <c:axId val="670122896"/>
        <c:extLst/>
      </c:scatterChart>
      <c:valAx>
        <c:axId val="56446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0122896"/>
        <c:crosses val="autoZero"/>
        <c:crossBetween val="midCat"/>
      </c:valAx>
      <c:valAx>
        <c:axId val="6701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46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454986650536883E-2"/>
          <c:y val="2.2892061917550586E-2"/>
          <c:w val="0.95345938202543179"/>
          <c:h val="0.93992019253180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'0820'!$B$1</c:f>
              <c:strCache>
                <c:ptCount val="1"/>
                <c:pt idx="0">
                  <c:v>15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'0820'!$A$89:$A$125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15</c:v>
                </c:pt>
                <c:pt idx="22">
                  <c:v>20</c:v>
                </c:pt>
                <c:pt idx="23">
                  <c:v>25</c:v>
                </c:pt>
                <c:pt idx="24">
                  <c:v>30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'0820'!$B$89:$B$125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324.39999999999998</c:v>
                </c:pt>
                <c:pt idx="4">
                  <c:v>251.9</c:v>
                </c:pt>
                <c:pt idx="5">
                  <c:v>192.5</c:v>
                </c:pt>
                <c:pt idx="6">
                  <c:v>136.80000000000001</c:v>
                </c:pt>
                <c:pt idx="7">
                  <c:v>90.6</c:v>
                </c:pt>
                <c:pt idx="8">
                  <c:v>54.6</c:v>
                </c:pt>
                <c:pt idx="9">
                  <c:v>27.3</c:v>
                </c:pt>
                <c:pt idx="10">
                  <c:v>12.54</c:v>
                </c:pt>
                <c:pt idx="11">
                  <c:v>12.73</c:v>
                </c:pt>
                <c:pt idx="12">
                  <c:v>26.5</c:v>
                </c:pt>
                <c:pt idx="13">
                  <c:v>56.3</c:v>
                </c:pt>
                <c:pt idx="14">
                  <c:v>92.9</c:v>
                </c:pt>
                <c:pt idx="15">
                  <c:v>137.30000000000001</c:v>
                </c:pt>
                <c:pt idx="16">
                  <c:v>196.9</c:v>
                </c:pt>
                <c:pt idx="17">
                  <c:v>262.3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47F-48DA-9588-C5485F21857E}"/>
            </c:ext>
          </c:extLst>
        </c:ser>
        <c:ser>
          <c:idx val="1"/>
          <c:order val="1"/>
          <c:tx>
            <c:strRef>
              <c:f>'0820'!$C$1</c:f>
              <c:strCache>
                <c:ptCount val="1"/>
                <c:pt idx="0">
                  <c:v>30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'0820'!$A$89:$A$125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15</c:v>
                </c:pt>
                <c:pt idx="22">
                  <c:v>20</c:v>
                </c:pt>
                <c:pt idx="23">
                  <c:v>25</c:v>
                </c:pt>
                <c:pt idx="24">
                  <c:v>30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'0820'!$C$89:$C$125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294.2</c:v>
                </c:pt>
                <c:pt idx="5">
                  <c:v>230.02</c:v>
                </c:pt>
                <c:pt idx="6">
                  <c:v>171.8</c:v>
                </c:pt>
                <c:pt idx="7">
                  <c:v>125.1</c:v>
                </c:pt>
                <c:pt idx="8">
                  <c:v>77.3</c:v>
                </c:pt>
                <c:pt idx="9">
                  <c:v>45.9</c:v>
                </c:pt>
                <c:pt idx="10">
                  <c:v>22.65</c:v>
                </c:pt>
                <c:pt idx="11">
                  <c:v>11.92</c:v>
                </c:pt>
                <c:pt idx="12">
                  <c:v>11.01</c:v>
                </c:pt>
                <c:pt idx="13">
                  <c:v>20.76</c:v>
                </c:pt>
                <c:pt idx="14">
                  <c:v>40</c:v>
                </c:pt>
                <c:pt idx="15">
                  <c:v>76.900000000000006</c:v>
                </c:pt>
                <c:pt idx="16">
                  <c:v>115.8</c:v>
                </c:pt>
                <c:pt idx="17">
                  <c:v>163.1</c:v>
                </c:pt>
                <c:pt idx="18">
                  <c:v>226.5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47F-48DA-9588-C5485F218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467528"/>
        <c:axId val="670122896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'0820'!$D$1</c15:sqref>
                        </c15:formulaRef>
                      </c:ext>
                    </c:extLst>
                    <c:strCache>
                      <c:ptCount val="1"/>
                      <c:pt idx="0">
                        <c:v>45 分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'0820'!$D$89:$D$125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335</c:v>
                      </c:pt>
                      <c:pt idx="5">
                        <c:v>260.7</c:v>
                      </c:pt>
                      <c:pt idx="6">
                        <c:v>203.4</c:v>
                      </c:pt>
                      <c:pt idx="7">
                        <c:v>152.4</c:v>
                      </c:pt>
                      <c:pt idx="8">
                        <c:v>106</c:v>
                      </c:pt>
                      <c:pt idx="9">
                        <c:v>63.9</c:v>
                      </c:pt>
                      <c:pt idx="10">
                        <c:v>37.450000000000003</c:v>
                      </c:pt>
                      <c:pt idx="11">
                        <c:v>16.46</c:v>
                      </c:pt>
                      <c:pt idx="12">
                        <c:v>9.33</c:v>
                      </c:pt>
                      <c:pt idx="13">
                        <c:v>11.97</c:v>
                      </c:pt>
                      <c:pt idx="14">
                        <c:v>24.85</c:v>
                      </c:pt>
                      <c:pt idx="15">
                        <c:v>48.7</c:v>
                      </c:pt>
                      <c:pt idx="16">
                        <c:v>81.8</c:v>
                      </c:pt>
                      <c:pt idx="17">
                        <c:v>125.5</c:v>
                      </c:pt>
                      <c:pt idx="18">
                        <c:v>178.6</c:v>
                      </c:pt>
                      <c:pt idx="19">
                        <c:v>235.9</c:v>
                      </c:pt>
                      <c:pt idx="20">
                        <c:v>285.10000000000002</c:v>
                      </c:pt>
                      <c:pt idx="21">
                        <c:v>349.1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E47F-48DA-9588-C5485F21857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'0820'!$E$1</c15:sqref>
                        </c15:formulaRef>
                      </c:ext>
                    </c:extLst>
                    <c:strCache>
                      <c:ptCount val="1"/>
                      <c:pt idx="0">
                        <c:v>60 分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4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'0820'!$E$89:$E$125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426</c:v>
                      </c:pt>
                      <c:pt idx="4">
                        <c:v>358.7</c:v>
                      </c:pt>
                      <c:pt idx="5">
                        <c:v>292.3</c:v>
                      </c:pt>
                      <c:pt idx="6">
                        <c:v>231.3</c:v>
                      </c:pt>
                      <c:pt idx="7">
                        <c:v>177.9</c:v>
                      </c:pt>
                      <c:pt idx="8">
                        <c:v>127</c:v>
                      </c:pt>
                      <c:pt idx="9">
                        <c:v>82.3</c:v>
                      </c:pt>
                      <c:pt idx="10">
                        <c:v>47.1</c:v>
                      </c:pt>
                      <c:pt idx="11">
                        <c:v>25.12</c:v>
                      </c:pt>
                      <c:pt idx="12">
                        <c:v>11.55</c:v>
                      </c:pt>
                      <c:pt idx="13">
                        <c:v>8.75</c:v>
                      </c:pt>
                      <c:pt idx="14">
                        <c:v>17.57</c:v>
                      </c:pt>
                      <c:pt idx="15">
                        <c:v>36.08</c:v>
                      </c:pt>
                      <c:pt idx="16">
                        <c:v>65.599999999999994</c:v>
                      </c:pt>
                      <c:pt idx="17">
                        <c:v>101.4</c:v>
                      </c:pt>
                      <c:pt idx="18">
                        <c:v>155.80000000000001</c:v>
                      </c:pt>
                      <c:pt idx="19">
                        <c:v>200.2</c:v>
                      </c:pt>
                      <c:pt idx="20">
                        <c:v>261.7</c:v>
                      </c:pt>
                      <c:pt idx="21">
                        <c:v>317.89999999999998</c:v>
                      </c:pt>
                      <c:pt idx="22">
                        <c:v>379</c:v>
                      </c:pt>
                      <c:pt idx="23">
                        <c:v>442</c:v>
                      </c:pt>
                      <c:pt idx="24">
                        <c:v>501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7F-48DA-9588-C5485F21857E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'0820'!$F$1</c15:sqref>
                        </c15:formulaRef>
                      </c:ext>
                    </c:extLst>
                    <c:strCache>
                      <c:ptCount val="1"/>
                      <c:pt idx="0">
                        <c:v>120 分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'0820'!$F$89:$F$125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476</c:v>
                      </c:pt>
                      <c:pt idx="4">
                        <c:v>405</c:v>
                      </c:pt>
                      <c:pt idx="5">
                        <c:v>343</c:v>
                      </c:pt>
                      <c:pt idx="6">
                        <c:v>275</c:v>
                      </c:pt>
                      <c:pt idx="7">
                        <c:v>210</c:v>
                      </c:pt>
                      <c:pt idx="8">
                        <c:v>159</c:v>
                      </c:pt>
                      <c:pt idx="9">
                        <c:v>113</c:v>
                      </c:pt>
                      <c:pt idx="10">
                        <c:v>70.599999999999994</c:v>
                      </c:pt>
                      <c:pt idx="11">
                        <c:v>37.96</c:v>
                      </c:pt>
                      <c:pt idx="12">
                        <c:v>18.93</c:v>
                      </c:pt>
                      <c:pt idx="13">
                        <c:v>9.5</c:v>
                      </c:pt>
                      <c:pt idx="14">
                        <c:v>12.05</c:v>
                      </c:pt>
                      <c:pt idx="15">
                        <c:v>26.57</c:v>
                      </c:pt>
                      <c:pt idx="16">
                        <c:v>49.5</c:v>
                      </c:pt>
                      <c:pt idx="17">
                        <c:v>84.3</c:v>
                      </c:pt>
                      <c:pt idx="18">
                        <c:v>127.5</c:v>
                      </c:pt>
                      <c:pt idx="19">
                        <c:v>177.8</c:v>
                      </c:pt>
                      <c:pt idx="20">
                        <c:v>236.8</c:v>
                      </c:pt>
                      <c:pt idx="21">
                        <c:v>304.7</c:v>
                      </c:pt>
                      <c:pt idx="22">
                        <c:v>367</c:v>
                      </c:pt>
                      <c:pt idx="23">
                        <c:v>438</c:v>
                      </c:pt>
                      <c:pt idx="24">
                        <c:v>505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47F-48DA-9588-C5485F21857E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19050" cap="rnd">
                    <a:noFill/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6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'0820'!$G$89:$G$125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47F-48DA-9588-C5485F21857E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'0820'!$H$1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'0820'!$H$89:$H$125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47F-48DA-9588-C5485F21857E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'0820'!$I$89:$I$125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47F-48DA-9588-C5485F21857E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'0820'!$J$1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'0820'!$J$89:$J$125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47F-48DA-9588-C5485F21857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'0820'!$K$1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'0820'!$K$89:$K$125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47F-48DA-9588-C5485F21857E}"/>
                  </c:ext>
                </c:extLst>
              </c15:ser>
            </c15:filteredScatterSeries>
            <c15:filteredScatterSeries>
              <c15:ser>
                <c:idx val="11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'0820'!$L$1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'0820'!$L$89:$L$125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47F-48DA-9588-C5485F21857E}"/>
                  </c:ext>
                </c:extLst>
              </c15:ser>
            </c15:filteredScatterSeries>
            <c15:filteredScatterSeries>
              <c15:ser>
                <c:idx val="1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'0820'!$M$1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'0820'!$M$89:$M$125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47F-48DA-9588-C5485F21857E}"/>
                  </c:ext>
                </c:extLst>
              </c15:ser>
            </c15:filteredScatterSeries>
            <c15:filteredScatterSeries>
              <c15:ser>
                <c:idx val="10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'0820'!$N$1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>
                          <a:lumMod val="60000"/>
                        </a:schemeClr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0"/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'0820'!$A$89:$A$125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-75</c:v>
                      </c:pt>
                      <c:pt idx="4">
                        <c:v>-70</c:v>
                      </c:pt>
                      <c:pt idx="5">
                        <c:v>-65</c:v>
                      </c:pt>
                      <c:pt idx="6">
                        <c:v>-60</c:v>
                      </c:pt>
                      <c:pt idx="7">
                        <c:v>-55</c:v>
                      </c:pt>
                      <c:pt idx="8">
                        <c:v>-50</c:v>
                      </c:pt>
                      <c:pt idx="9">
                        <c:v>-45</c:v>
                      </c:pt>
                      <c:pt idx="10">
                        <c:v>-40</c:v>
                      </c:pt>
                      <c:pt idx="11">
                        <c:v>-35</c:v>
                      </c:pt>
                      <c:pt idx="12">
                        <c:v>-30</c:v>
                      </c:pt>
                      <c:pt idx="13">
                        <c:v>-25</c:v>
                      </c:pt>
                      <c:pt idx="14">
                        <c:v>-20</c:v>
                      </c:pt>
                      <c:pt idx="15">
                        <c:v>-15</c:v>
                      </c:pt>
                      <c:pt idx="16">
                        <c:v>-10</c:v>
                      </c:pt>
                      <c:pt idx="17">
                        <c:v>-5</c:v>
                      </c:pt>
                      <c:pt idx="18">
                        <c:v>0</c:v>
                      </c:pt>
                      <c:pt idx="19">
                        <c:v>5</c:v>
                      </c:pt>
                      <c:pt idx="20">
                        <c:v>10</c:v>
                      </c:pt>
                      <c:pt idx="21">
                        <c:v>15</c:v>
                      </c:pt>
                      <c:pt idx="22">
                        <c:v>20</c:v>
                      </c:pt>
                      <c:pt idx="23">
                        <c:v>25</c:v>
                      </c:pt>
                      <c:pt idx="24">
                        <c:v>30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'0820'!$N$89:$N$125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47F-48DA-9588-C5485F21857E}"/>
                  </c:ext>
                </c:extLst>
              </c15:ser>
            </c15:filteredScatterSeries>
          </c:ext>
        </c:extLst>
      </c:scatterChart>
      <c:valAx>
        <c:axId val="56446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0122896"/>
        <c:crosses val="autoZero"/>
        <c:crossBetween val="midCat"/>
      </c:valAx>
      <c:valAx>
        <c:axId val="6701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46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454986650536883E-2"/>
          <c:y val="2.2892061917550586E-2"/>
          <c:w val="0.95345938202543179"/>
          <c:h val="0.93992019253180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'0807'!$B$1</c:f>
              <c:strCache>
                <c:ptCount val="1"/>
                <c:pt idx="0">
                  <c:v>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'0807'!$B$3:$B$39</c:f>
              <c:numCache>
                <c:formatCode>General</c:formatCode>
                <c:ptCount val="37"/>
                <c:pt idx="0">
                  <c:v>657</c:v>
                </c:pt>
                <c:pt idx="1">
                  <c:v>754</c:v>
                </c:pt>
                <c:pt idx="2">
                  <c:v>557</c:v>
                </c:pt>
                <c:pt idx="3">
                  <c:v>847</c:v>
                </c:pt>
                <c:pt idx="4">
                  <c:v>466</c:v>
                </c:pt>
                <c:pt idx="5">
                  <c:v>943</c:v>
                </c:pt>
                <c:pt idx="6">
                  <c:v>368</c:v>
                </c:pt>
                <c:pt idx="7">
                  <c:v>1028</c:v>
                </c:pt>
                <c:pt idx="8">
                  <c:v>294.7</c:v>
                </c:pt>
                <c:pt idx="9">
                  <c:v>1100</c:v>
                </c:pt>
                <c:pt idx="10">
                  <c:v>227.4</c:v>
                </c:pt>
                <c:pt idx="11">
                  <c:v>1169</c:v>
                </c:pt>
                <c:pt idx="12">
                  <c:v>173.3</c:v>
                </c:pt>
                <c:pt idx="13">
                  <c:v>1225</c:v>
                </c:pt>
                <c:pt idx="14">
                  <c:v>145</c:v>
                </c:pt>
                <c:pt idx="15">
                  <c:v>1261</c:v>
                </c:pt>
                <c:pt idx="16">
                  <c:v>131.30000000000001</c:v>
                </c:pt>
                <c:pt idx="17">
                  <c:v>1279</c:v>
                </c:pt>
                <c:pt idx="18">
                  <c:v>136.4</c:v>
                </c:pt>
                <c:pt idx="19">
                  <c:v>1286</c:v>
                </c:pt>
                <c:pt idx="20">
                  <c:v>160.80000000000001</c:v>
                </c:pt>
                <c:pt idx="21">
                  <c:v>1273</c:v>
                </c:pt>
                <c:pt idx="22">
                  <c:v>199</c:v>
                </c:pt>
                <c:pt idx="23">
                  <c:v>1252</c:v>
                </c:pt>
                <c:pt idx="24">
                  <c:v>250</c:v>
                </c:pt>
                <c:pt idx="25">
                  <c:v>1209</c:v>
                </c:pt>
                <c:pt idx="26">
                  <c:v>354</c:v>
                </c:pt>
                <c:pt idx="27">
                  <c:v>1152</c:v>
                </c:pt>
                <c:pt idx="28">
                  <c:v>436</c:v>
                </c:pt>
                <c:pt idx="29">
                  <c:v>1089</c:v>
                </c:pt>
                <c:pt idx="30">
                  <c:v>533</c:v>
                </c:pt>
                <c:pt idx="31">
                  <c:v>1027</c:v>
                </c:pt>
                <c:pt idx="32">
                  <c:v>637</c:v>
                </c:pt>
                <c:pt idx="33">
                  <c:v>948</c:v>
                </c:pt>
                <c:pt idx="34">
                  <c:v>731</c:v>
                </c:pt>
                <c:pt idx="35">
                  <c:v>842</c:v>
                </c:pt>
                <c:pt idx="36">
                  <c:v>832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7DF-A14B-9EF5-E980BD315B0C}"/>
            </c:ext>
          </c:extLst>
        </c:ser>
        <c:ser>
          <c:idx val="1"/>
          <c:order val="1"/>
          <c:tx>
            <c:strRef>
              <c:f>'0807'!$C$1</c:f>
              <c:strCache>
                <c:ptCount val="1"/>
                <c:pt idx="0">
                  <c:v>15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'0807'!$C$3:$C$39</c:f>
              <c:numCache>
                <c:formatCode>General</c:formatCode>
                <c:ptCount val="37"/>
                <c:pt idx="0">
                  <c:v>486</c:v>
                </c:pt>
                <c:pt idx="1">
                  <c:v>580</c:v>
                </c:pt>
                <c:pt idx="2">
                  <c:v>257</c:v>
                </c:pt>
                <c:pt idx="3">
                  <c:v>676</c:v>
                </c:pt>
                <c:pt idx="4">
                  <c:v>323</c:v>
                </c:pt>
                <c:pt idx="5">
                  <c:v>768</c:v>
                </c:pt>
                <c:pt idx="6">
                  <c:v>246</c:v>
                </c:pt>
                <c:pt idx="7">
                  <c:v>860</c:v>
                </c:pt>
                <c:pt idx="8">
                  <c:v>196</c:v>
                </c:pt>
                <c:pt idx="9">
                  <c:v>937</c:v>
                </c:pt>
                <c:pt idx="10">
                  <c:v>151</c:v>
                </c:pt>
                <c:pt idx="11">
                  <c:v>1014</c:v>
                </c:pt>
                <c:pt idx="12">
                  <c:v>128</c:v>
                </c:pt>
                <c:pt idx="13">
                  <c:v>1074</c:v>
                </c:pt>
                <c:pt idx="14">
                  <c:v>120</c:v>
                </c:pt>
                <c:pt idx="15">
                  <c:v>1124</c:v>
                </c:pt>
                <c:pt idx="16">
                  <c:v>130</c:v>
                </c:pt>
                <c:pt idx="17">
                  <c:v>1163</c:v>
                </c:pt>
                <c:pt idx="18">
                  <c:v>159</c:v>
                </c:pt>
                <c:pt idx="19">
                  <c:v>1187</c:v>
                </c:pt>
                <c:pt idx="20">
                  <c:v>193</c:v>
                </c:pt>
                <c:pt idx="21">
                  <c:v>1197</c:v>
                </c:pt>
                <c:pt idx="22">
                  <c:v>250</c:v>
                </c:pt>
                <c:pt idx="23">
                  <c:v>1193</c:v>
                </c:pt>
                <c:pt idx="24">
                  <c:v>313</c:v>
                </c:pt>
                <c:pt idx="25">
                  <c:v>1169</c:v>
                </c:pt>
                <c:pt idx="26">
                  <c:v>389</c:v>
                </c:pt>
                <c:pt idx="27">
                  <c:v>1135</c:v>
                </c:pt>
                <c:pt idx="28">
                  <c:v>474</c:v>
                </c:pt>
                <c:pt idx="29">
                  <c:v>1090</c:v>
                </c:pt>
                <c:pt idx="30">
                  <c:v>578</c:v>
                </c:pt>
                <c:pt idx="31">
                  <c:v>1030</c:v>
                </c:pt>
                <c:pt idx="32">
                  <c:v>671</c:v>
                </c:pt>
                <c:pt idx="33">
                  <c:v>962</c:v>
                </c:pt>
                <c:pt idx="34">
                  <c:v>769</c:v>
                </c:pt>
                <c:pt idx="35">
                  <c:v>874</c:v>
                </c:pt>
                <c:pt idx="36">
                  <c:v>857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7DF-A14B-9EF5-E980BD315B0C}"/>
            </c:ext>
          </c:extLst>
        </c:ser>
        <c:ser>
          <c:idx val="2"/>
          <c:order val="2"/>
          <c:tx>
            <c:strRef>
              <c:f>'0807'!$D$1</c:f>
              <c:strCache>
                <c:ptCount val="1"/>
                <c:pt idx="0">
                  <c:v>30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'0807'!$D$3:$D$39</c:f>
              <c:numCache>
                <c:formatCode>General</c:formatCode>
                <c:ptCount val="37"/>
                <c:pt idx="0">
                  <c:v>380</c:v>
                </c:pt>
                <c:pt idx="1">
                  <c:v>467</c:v>
                </c:pt>
                <c:pt idx="2">
                  <c:v>307</c:v>
                </c:pt>
                <c:pt idx="3">
                  <c:v>549</c:v>
                </c:pt>
                <c:pt idx="4">
                  <c:v>240</c:v>
                </c:pt>
                <c:pt idx="5">
                  <c:v>639</c:v>
                </c:pt>
                <c:pt idx="6">
                  <c:v>186</c:v>
                </c:pt>
                <c:pt idx="7">
                  <c:v>724</c:v>
                </c:pt>
                <c:pt idx="8">
                  <c:v>147</c:v>
                </c:pt>
                <c:pt idx="9">
                  <c:v>811</c:v>
                </c:pt>
                <c:pt idx="10">
                  <c:v>122</c:v>
                </c:pt>
                <c:pt idx="11">
                  <c:v>889</c:v>
                </c:pt>
                <c:pt idx="12">
                  <c:v>113</c:v>
                </c:pt>
                <c:pt idx="13">
                  <c:v>956</c:v>
                </c:pt>
                <c:pt idx="14">
                  <c:v>120</c:v>
                </c:pt>
                <c:pt idx="15">
                  <c:v>1013</c:v>
                </c:pt>
                <c:pt idx="16">
                  <c:v>143</c:v>
                </c:pt>
                <c:pt idx="17">
                  <c:v>1063</c:v>
                </c:pt>
                <c:pt idx="18">
                  <c:v>181</c:v>
                </c:pt>
                <c:pt idx="19">
                  <c:v>1096</c:v>
                </c:pt>
                <c:pt idx="20">
                  <c:v>224</c:v>
                </c:pt>
                <c:pt idx="21">
                  <c:v>1115</c:v>
                </c:pt>
                <c:pt idx="22">
                  <c:v>289</c:v>
                </c:pt>
                <c:pt idx="23">
                  <c:v>1126</c:v>
                </c:pt>
                <c:pt idx="24">
                  <c:v>363</c:v>
                </c:pt>
                <c:pt idx="25">
                  <c:v>1123</c:v>
                </c:pt>
                <c:pt idx="26">
                  <c:v>436</c:v>
                </c:pt>
                <c:pt idx="27">
                  <c:v>1101</c:v>
                </c:pt>
                <c:pt idx="28">
                  <c:v>518</c:v>
                </c:pt>
                <c:pt idx="29">
                  <c:v>1065</c:v>
                </c:pt>
                <c:pt idx="30">
                  <c:v>618</c:v>
                </c:pt>
                <c:pt idx="31">
                  <c:v>1021</c:v>
                </c:pt>
                <c:pt idx="32">
                  <c:v>711</c:v>
                </c:pt>
                <c:pt idx="33">
                  <c:v>965</c:v>
                </c:pt>
                <c:pt idx="34">
                  <c:v>790</c:v>
                </c:pt>
                <c:pt idx="35">
                  <c:v>888</c:v>
                </c:pt>
                <c:pt idx="36">
                  <c:v>875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7DF-A14B-9EF5-E980BD315B0C}"/>
            </c:ext>
          </c:extLst>
        </c:ser>
        <c:ser>
          <c:idx val="3"/>
          <c:order val="3"/>
          <c:tx>
            <c:strRef>
              <c:f>'0807'!$E$1</c:f>
              <c:strCache>
                <c:ptCount val="1"/>
                <c:pt idx="0">
                  <c:v>45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'0807'!$E$3:$E$39</c:f>
              <c:numCache>
                <c:formatCode>General</c:formatCode>
                <c:ptCount val="37"/>
                <c:pt idx="0">
                  <c:v>321</c:v>
                </c:pt>
                <c:pt idx="1">
                  <c:v>399</c:v>
                </c:pt>
                <c:pt idx="2">
                  <c:v>255</c:v>
                </c:pt>
                <c:pt idx="3">
                  <c:v>482</c:v>
                </c:pt>
                <c:pt idx="4">
                  <c:v>198</c:v>
                </c:pt>
                <c:pt idx="5">
                  <c:v>557</c:v>
                </c:pt>
                <c:pt idx="6">
                  <c:v>157</c:v>
                </c:pt>
                <c:pt idx="7">
                  <c:v>638</c:v>
                </c:pt>
                <c:pt idx="8">
                  <c:v>125</c:v>
                </c:pt>
                <c:pt idx="9">
                  <c:v>728</c:v>
                </c:pt>
                <c:pt idx="10">
                  <c:v>110</c:v>
                </c:pt>
                <c:pt idx="11">
                  <c:v>807</c:v>
                </c:pt>
                <c:pt idx="12">
                  <c:v>109</c:v>
                </c:pt>
                <c:pt idx="13">
                  <c:v>877</c:v>
                </c:pt>
                <c:pt idx="14">
                  <c:v>123</c:v>
                </c:pt>
                <c:pt idx="15">
                  <c:v>945</c:v>
                </c:pt>
                <c:pt idx="16">
                  <c:v>149</c:v>
                </c:pt>
                <c:pt idx="17">
                  <c:v>999</c:v>
                </c:pt>
                <c:pt idx="18">
                  <c:v>188</c:v>
                </c:pt>
                <c:pt idx="19">
                  <c:v>1030</c:v>
                </c:pt>
                <c:pt idx="20">
                  <c:v>245</c:v>
                </c:pt>
                <c:pt idx="21">
                  <c:v>1059</c:v>
                </c:pt>
                <c:pt idx="22">
                  <c:v>314</c:v>
                </c:pt>
                <c:pt idx="23">
                  <c:v>1076</c:v>
                </c:pt>
                <c:pt idx="24">
                  <c:v>372</c:v>
                </c:pt>
                <c:pt idx="25">
                  <c:v>1077</c:v>
                </c:pt>
                <c:pt idx="26">
                  <c:v>453</c:v>
                </c:pt>
                <c:pt idx="27">
                  <c:v>1063</c:v>
                </c:pt>
                <c:pt idx="28">
                  <c:v>539</c:v>
                </c:pt>
                <c:pt idx="29">
                  <c:v>1038</c:v>
                </c:pt>
                <c:pt idx="30">
                  <c:v>644</c:v>
                </c:pt>
                <c:pt idx="31">
                  <c:v>998</c:v>
                </c:pt>
                <c:pt idx="32">
                  <c:v>718</c:v>
                </c:pt>
                <c:pt idx="33">
                  <c:v>949</c:v>
                </c:pt>
                <c:pt idx="34">
                  <c:v>800</c:v>
                </c:pt>
                <c:pt idx="35">
                  <c:v>883</c:v>
                </c:pt>
                <c:pt idx="36">
                  <c:v>870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7DF-A14B-9EF5-E980BD315B0C}"/>
            </c:ext>
          </c:extLst>
        </c:ser>
        <c:ser>
          <c:idx val="4"/>
          <c:order val="4"/>
          <c:tx>
            <c:strRef>
              <c:f>'0807'!$F$1</c:f>
              <c:strCache>
                <c:ptCount val="1"/>
                <c:pt idx="0">
                  <c:v>60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'0807'!$F$3:$F$39</c:f>
              <c:numCache>
                <c:formatCode>General</c:formatCode>
                <c:ptCount val="37"/>
                <c:pt idx="0">
                  <c:v>289</c:v>
                </c:pt>
                <c:pt idx="1">
                  <c:v>358</c:v>
                </c:pt>
                <c:pt idx="2">
                  <c:v>229</c:v>
                </c:pt>
                <c:pt idx="3">
                  <c:v>430</c:v>
                </c:pt>
                <c:pt idx="4">
                  <c:v>182</c:v>
                </c:pt>
                <c:pt idx="5">
                  <c:v>516</c:v>
                </c:pt>
                <c:pt idx="6">
                  <c:v>140</c:v>
                </c:pt>
                <c:pt idx="7">
                  <c:v>593</c:v>
                </c:pt>
                <c:pt idx="8">
                  <c:v>115</c:v>
                </c:pt>
                <c:pt idx="9">
                  <c:v>681</c:v>
                </c:pt>
                <c:pt idx="10">
                  <c:v>105</c:v>
                </c:pt>
                <c:pt idx="11">
                  <c:v>758</c:v>
                </c:pt>
                <c:pt idx="12">
                  <c:v>109</c:v>
                </c:pt>
                <c:pt idx="13">
                  <c:v>835</c:v>
                </c:pt>
                <c:pt idx="14">
                  <c:v>127</c:v>
                </c:pt>
                <c:pt idx="15">
                  <c:v>900</c:v>
                </c:pt>
                <c:pt idx="16">
                  <c:v>156</c:v>
                </c:pt>
                <c:pt idx="17">
                  <c:v>950</c:v>
                </c:pt>
                <c:pt idx="18">
                  <c:v>207</c:v>
                </c:pt>
                <c:pt idx="19">
                  <c:v>1004</c:v>
                </c:pt>
                <c:pt idx="20">
                  <c:v>264</c:v>
                </c:pt>
                <c:pt idx="21">
                  <c:v>1035</c:v>
                </c:pt>
                <c:pt idx="22">
                  <c:v>322</c:v>
                </c:pt>
                <c:pt idx="23">
                  <c:v>1055</c:v>
                </c:pt>
                <c:pt idx="24">
                  <c:v>395</c:v>
                </c:pt>
                <c:pt idx="25">
                  <c:v>1061</c:v>
                </c:pt>
                <c:pt idx="26">
                  <c:v>471</c:v>
                </c:pt>
                <c:pt idx="27">
                  <c:v>1055</c:v>
                </c:pt>
                <c:pt idx="28">
                  <c:v>558</c:v>
                </c:pt>
                <c:pt idx="29">
                  <c:v>1034</c:v>
                </c:pt>
                <c:pt idx="30">
                  <c:v>652</c:v>
                </c:pt>
                <c:pt idx="31">
                  <c:v>1000</c:v>
                </c:pt>
                <c:pt idx="32">
                  <c:v>739</c:v>
                </c:pt>
                <c:pt idx="33">
                  <c:v>955</c:v>
                </c:pt>
                <c:pt idx="34">
                  <c:v>812</c:v>
                </c:pt>
                <c:pt idx="35">
                  <c:v>890</c:v>
                </c:pt>
                <c:pt idx="36">
                  <c:v>880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7DF-A14B-9EF5-E980BD315B0C}"/>
            </c:ext>
          </c:extLst>
        </c:ser>
        <c:ser>
          <c:idx val="5"/>
          <c:order val="5"/>
          <c:tx>
            <c:strRef>
              <c:f>'0807'!$G$1</c:f>
              <c:strCache>
                <c:ptCount val="1"/>
              </c:strCache>
            </c:strRef>
          </c:tx>
          <c:spPr>
            <a:ln w="19050" cap="rnd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'0807'!$G$3:$G$39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7DF-A14B-9EF5-E980BD315B0C}"/>
            </c:ext>
          </c:extLst>
        </c:ser>
        <c:ser>
          <c:idx val="6"/>
          <c:order val="6"/>
          <c:tx>
            <c:strRef>
              <c:f>'0807'!$H$1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'0807'!$H$3:$H$39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7DF-A14B-9EF5-E980BD315B0C}"/>
            </c:ext>
          </c:extLst>
        </c:ser>
        <c:ser>
          <c:idx val="7"/>
          <c:order val="7"/>
          <c:tx>
            <c:strRef>
              <c:f>'0807'!$I$1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'0807'!$I$3:$I$39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7DF-A14B-9EF5-E980BD315B0C}"/>
            </c:ext>
          </c:extLst>
        </c:ser>
        <c:ser>
          <c:idx val="8"/>
          <c:order val="8"/>
          <c:tx>
            <c:strRef>
              <c:f>'0807'!$J$1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'0807'!$J$3:$J$39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E7DF-A14B-9EF5-E980BD315B0C}"/>
            </c:ext>
          </c:extLst>
        </c:ser>
        <c:ser>
          <c:idx val="9"/>
          <c:order val="9"/>
          <c:tx>
            <c:strRef>
              <c:f>'0807'!$K$1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'0807'!$K$3:$K$39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E7DF-A14B-9EF5-E980BD315B0C}"/>
            </c:ext>
          </c:extLst>
        </c:ser>
        <c:ser>
          <c:idx val="11"/>
          <c:order val="10"/>
          <c:tx>
            <c:strRef>
              <c:f>'0807'!$L$1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'0807'!$L$3:$L$39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E7DF-A14B-9EF5-E980BD315B0C}"/>
            </c:ext>
          </c:extLst>
        </c:ser>
        <c:ser>
          <c:idx val="12"/>
          <c:order val="11"/>
          <c:tx>
            <c:strRef>
              <c:f>'0807'!$M$1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'0807'!$M$3:$M$39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E7DF-A14B-9EF5-E980BD315B0C}"/>
            </c:ext>
          </c:extLst>
        </c:ser>
        <c:ser>
          <c:idx val="10"/>
          <c:order val="12"/>
          <c:tx>
            <c:strRef>
              <c:f>'0807'!$N$1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'0807'!$A$3:$A$39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'0807'!$N$3:$N$39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E7DF-A14B-9EF5-E980BD315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467528"/>
        <c:axId val="670122896"/>
        <c:extLst/>
      </c:scatterChart>
      <c:valAx>
        <c:axId val="56446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0122896"/>
        <c:crosses val="autoZero"/>
        <c:crossBetween val="midCat"/>
      </c:valAx>
      <c:valAx>
        <c:axId val="6701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46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454986650536883E-2"/>
          <c:y val="2.2892061917550586E-2"/>
          <c:w val="0.95345938202543179"/>
          <c:h val="0.93992019253180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'0807'!$B$1</c:f>
              <c:strCache>
                <c:ptCount val="1"/>
                <c:pt idx="0">
                  <c:v>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'0807'!$B$89:$B$125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533</c:v>
                </c:pt>
                <c:pt idx="4">
                  <c:v>436</c:v>
                </c:pt>
                <c:pt idx="5">
                  <c:v>354</c:v>
                </c:pt>
                <c:pt idx="6">
                  <c:v>250</c:v>
                </c:pt>
                <c:pt idx="7">
                  <c:v>199</c:v>
                </c:pt>
                <c:pt idx="8">
                  <c:v>160.80000000000001</c:v>
                </c:pt>
                <c:pt idx="9">
                  <c:v>136.4</c:v>
                </c:pt>
                <c:pt idx="10">
                  <c:v>131.30000000000001</c:v>
                </c:pt>
                <c:pt idx="11">
                  <c:v>145</c:v>
                </c:pt>
                <c:pt idx="12">
                  <c:v>173.3</c:v>
                </c:pt>
                <c:pt idx="13">
                  <c:v>227.4</c:v>
                </c:pt>
                <c:pt idx="14">
                  <c:v>294.7</c:v>
                </c:pt>
                <c:pt idx="15">
                  <c:v>368</c:v>
                </c:pt>
                <c:pt idx="16">
                  <c:v>466</c:v>
                </c:pt>
                <c:pt idx="17">
                  <c:v>557</c:v>
                </c:pt>
                <c:pt idx="18">
                  <c:v>657</c:v>
                </c:pt>
                <c:pt idx="19">
                  <c:v>754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136-CE42-A2D2-2D31A21893F7}"/>
            </c:ext>
          </c:extLst>
        </c:ser>
        <c:ser>
          <c:idx val="1"/>
          <c:order val="1"/>
          <c:tx>
            <c:strRef>
              <c:f>'0807'!$C$1</c:f>
              <c:strCache>
                <c:ptCount val="1"/>
                <c:pt idx="0">
                  <c:v>15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'0807'!$C$89:$C$125</c:f>
              <c:numCache>
                <c:formatCode>General</c:formatCode>
                <c:ptCount val="37"/>
                <c:pt idx="0">
                  <c:v>#N/A</c:v>
                </c:pt>
                <c:pt idx="1">
                  <c:v>769</c:v>
                </c:pt>
                <c:pt idx="2">
                  <c:v>671</c:v>
                </c:pt>
                <c:pt idx="3">
                  <c:v>578</c:v>
                </c:pt>
                <c:pt idx="4">
                  <c:v>474</c:v>
                </c:pt>
                <c:pt idx="5">
                  <c:v>389</c:v>
                </c:pt>
                <c:pt idx="6">
                  <c:v>313</c:v>
                </c:pt>
                <c:pt idx="7">
                  <c:v>250</c:v>
                </c:pt>
                <c:pt idx="8">
                  <c:v>193</c:v>
                </c:pt>
                <c:pt idx="9">
                  <c:v>159</c:v>
                </c:pt>
                <c:pt idx="10">
                  <c:v>130</c:v>
                </c:pt>
                <c:pt idx="11">
                  <c:v>120</c:v>
                </c:pt>
                <c:pt idx="12">
                  <c:v>128</c:v>
                </c:pt>
                <c:pt idx="13">
                  <c:v>151</c:v>
                </c:pt>
                <c:pt idx="14">
                  <c:v>196</c:v>
                </c:pt>
                <c:pt idx="15">
                  <c:v>246</c:v>
                </c:pt>
                <c:pt idx="16">
                  <c:v>323</c:v>
                </c:pt>
                <c:pt idx="17">
                  <c:v>257</c:v>
                </c:pt>
                <c:pt idx="18">
                  <c:v>486</c:v>
                </c:pt>
                <c:pt idx="19">
                  <c:v>580</c:v>
                </c:pt>
                <c:pt idx="20">
                  <c:v>676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136-CE42-A2D2-2D31A21893F7}"/>
            </c:ext>
          </c:extLst>
        </c:ser>
        <c:ser>
          <c:idx val="2"/>
          <c:order val="2"/>
          <c:tx>
            <c:strRef>
              <c:f>'0807'!$D$1</c:f>
              <c:strCache>
                <c:ptCount val="1"/>
                <c:pt idx="0">
                  <c:v>30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'0807'!$D$89:$D$125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711</c:v>
                </c:pt>
                <c:pt idx="3">
                  <c:v>618</c:v>
                </c:pt>
                <c:pt idx="4">
                  <c:v>518</c:v>
                </c:pt>
                <c:pt idx="5">
                  <c:v>436</c:v>
                </c:pt>
                <c:pt idx="6">
                  <c:v>363</c:v>
                </c:pt>
                <c:pt idx="7">
                  <c:v>289</c:v>
                </c:pt>
                <c:pt idx="8">
                  <c:v>224</c:v>
                </c:pt>
                <c:pt idx="9">
                  <c:v>181</c:v>
                </c:pt>
                <c:pt idx="10">
                  <c:v>143</c:v>
                </c:pt>
                <c:pt idx="11">
                  <c:v>120</c:v>
                </c:pt>
                <c:pt idx="12">
                  <c:v>113</c:v>
                </c:pt>
                <c:pt idx="13">
                  <c:v>122</c:v>
                </c:pt>
                <c:pt idx="14">
                  <c:v>147</c:v>
                </c:pt>
                <c:pt idx="15">
                  <c:v>186</c:v>
                </c:pt>
                <c:pt idx="16">
                  <c:v>240</c:v>
                </c:pt>
                <c:pt idx="17">
                  <c:v>307</c:v>
                </c:pt>
                <c:pt idx="18">
                  <c:v>380</c:v>
                </c:pt>
                <c:pt idx="19">
                  <c:v>467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136-CE42-A2D2-2D31A21893F7}"/>
            </c:ext>
          </c:extLst>
        </c:ser>
        <c:ser>
          <c:idx val="3"/>
          <c:order val="3"/>
          <c:tx>
            <c:strRef>
              <c:f>'0807'!$E$1</c:f>
              <c:strCache>
                <c:ptCount val="1"/>
                <c:pt idx="0">
                  <c:v>45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'0807'!$E$89:$E$125</c:f>
              <c:numCache>
                <c:formatCode>General</c:formatCode>
                <c:ptCount val="37"/>
                <c:pt idx="0">
                  <c:v>#N/A</c:v>
                </c:pt>
                <c:pt idx="1">
                  <c:v>800</c:v>
                </c:pt>
                <c:pt idx="2">
                  <c:v>718</c:v>
                </c:pt>
                <c:pt idx="3">
                  <c:v>644</c:v>
                </c:pt>
                <c:pt idx="4">
                  <c:v>539</c:v>
                </c:pt>
                <c:pt idx="5">
                  <c:v>453</c:v>
                </c:pt>
                <c:pt idx="6">
                  <c:v>372</c:v>
                </c:pt>
                <c:pt idx="7">
                  <c:v>314</c:v>
                </c:pt>
                <c:pt idx="8">
                  <c:v>245</c:v>
                </c:pt>
                <c:pt idx="9">
                  <c:v>188</c:v>
                </c:pt>
                <c:pt idx="10">
                  <c:v>149</c:v>
                </c:pt>
                <c:pt idx="11">
                  <c:v>123</c:v>
                </c:pt>
                <c:pt idx="12">
                  <c:v>109</c:v>
                </c:pt>
                <c:pt idx="13">
                  <c:v>110</c:v>
                </c:pt>
                <c:pt idx="14">
                  <c:v>125</c:v>
                </c:pt>
                <c:pt idx="15">
                  <c:v>157</c:v>
                </c:pt>
                <c:pt idx="16">
                  <c:v>198</c:v>
                </c:pt>
                <c:pt idx="17">
                  <c:v>255</c:v>
                </c:pt>
                <c:pt idx="18">
                  <c:v>321</c:v>
                </c:pt>
                <c:pt idx="19">
                  <c:v>399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136-CE42-A2D2-2D31A21893F7}"/>
            </c:ext>
          </c:extLst>
        </c:ser>
        <c:ser>
          <c:idx val="4"/>
          <c:order val="4"/>
          <c:tx>
            <c:strRef>
              <c:f>'0807'!$F$1</c:f>
              <c:strCache>
                <c:ptCount val="1"/>
                <c:pt idx="0">
                  <c:v>60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'0807'!$F$89:$F$125</c:f>
              <c:numCache>
                <c:formatCode>General</c:formatCode>
                <c:ptCount val="37"/>
                <c:pt idx="0">
                  <c:v>#N/A</c:v>
                </c:pt>
                <c:pt idx="1">
                  <c:v>812</c:v>
                </c:pt>
                <c:pt idx="2">
                  <c:v>739</c:v>
                </c:pt>
                <c:pt idx="3">
                  <c:v>652</c:v>
                </c:pt>
                <c:pt idx="4">
                  <c:v>558</c:v>
                </c:pt>
                <c:pt idx="5">
                  <c:v>471</c:v>
                </c:pt>
                <c:pt idx="6">
                  <c:v>395</c:v>
                </c:pt>
                <c:pt idx="7">
                  <c:v>322</c:v>
                </c:pt>
                <c:pt idx="8">
                  <c:v>264</c:v>
                </c:pt>
                <c:pt idx="9">
                  <c:v>207</c:v>
                </c:pt>
                <c:pt idx="10">
                  <c:v>156</c:v>
                </c:pt>
                <c:pt idx="11">
                  <c:v>127</c:v>
                </c:pt>
                <c:pt idx="12">
                  <c:v>109</c:v>
                </c:pt>
                <c:pt idx="13">
                  <c:v>105</c:v>
                </c:pt>
                <c:pt idx="14">
                  <c:v>115</c:v>
                </c:pt>
                <c:pt idx="15">
                  <c:v>140</c:v>
                </c:pt>
                <c:pt idx="16">
                  <c:v>182</c:v>
                </c:pt>
                <c:pt idx="17">
                  <c:v>229</c:v>
                </c:pt>
                <c:pt idx="18">
                  <c:v>289</c:v>
                </c:pt>
                <c:pt idx="19">
                  <c:v>358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136-CE42-A2D2-2D31A21893F7}"/>
            </c:ext>
          </c:extLst>
        </c:ser>
        <c:ser>
          <c:idx val="5"/>
          <c:order val="5"/>
          <c:tx>
            <c:strRef>
              <c:f>'0807'!$G$1</c:f>
              <c:strCache>
                <c:ptCount val="1"/>
              </c:strCache>
            </c:strRef>
          </c:tx>
          <c:spPr>
            <a:ln w="19050" cap="rnd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'0807'!$G$89:$G$125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136-CE42-A2D2-2D31A21893F7}"/>
            </c:ext>
          </c:extLst>
        </c:ser>
        <c:ser>
          <c:idx val="6"/>
          <c:order val="6"/>
          <c:tx>
            <c:strRef>
              <c:f>'0807'!$H$1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'0807'!$H$89:$H$125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3136-CE42-A2D2-2D31A21893F7}"/>
            </c:ext>
          </c:extLst>
        </c:ser>
        <c:ser>
          <c:idx val="7"/>
          <c:order val="7"/>
          <c:tx>
            <c:strRef>
              <c:f>'0807'!$I$1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'0807'!$I$89:$I$125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136-CE42-A2D2-2D31A21893F7}"/>
            </c:ext>
          </c:extLst>
        </c:ser>
        <c:ser>
          <c:idx val="8"/>
          <c:order val="8"/>
          <c:tx>
            <c:strRef>
              <c:f>'0807'!$J$1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'0807'!$J$89:$J$125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3136-CE42-A2D2-2D31A21893F7}"/>
            </c:ext>
          </c:extLst>
        </c:ser>
        <c:ser>
          <c:idx val="9"/>
          <c:order val="9"/>
          <c:tx>
            <c:strRef>
              <c:f>'0807'!$K$1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'0807'!$K$89:$K$125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3136-CE42-A2D2-2D31A21893F7}"/>
            </c:ext>
          </c:extLst>
        </c:ser>
        <c:ser>
          <c:idx val="11"/>
          <c:order val="10"/>
          <c:tx>
            <c:strRef>
              <c:f>'0807'!$L$1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'0807'!$L$89:$L$125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3136-CE42-A2D2-2D31A21893F7}"/>
            </c:ext>
          </c:extLst>
        </c:ser>
        <c:ser>
          <c:idx val="12"/>
          <c:order val="11"/>
          <c:tx>
            <c:strRef>
              <c:f>'0807'!$M$1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'0807'!$M$89:$M$125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3136-CE42-A2D2-2D31A21893F7}"/>
            </c:ext>
          </c:extLst>
        </c:ser>
        <c:ser>
          <c:idx val="10"/>
          <c:order val="12"/>
          <c:tx>
            <c:strRef>
              <c:f>'0807'!$N$1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'0807'!$A$89:$A$125</c:f>
              <c:numCache>
                <c:formatCode>General</c:formatCode>
                <c:ptCount val="37"/>
                <c:pt idx="0">
                  <c:v>#N/A</c:v>
                </c:pt>
                <c:pt idx="1">
                  <c:v>-85</c:v>
                </c:pt>
                <c:pt idx="2">
                  <c:v>-80</c:v>
                </c:pt>
                <c:pt idx="3">
                  <c:v>-75</c:v>
                </c:pt>
                <c:pt idx="4">
                  <c:v>-70</c:v>
                </c:pt>
                <c:pt idx="5">
                  <c:v>-65</c:v>
                </c:pt>
                <c:pt idx="6">
                  <c:v>-60</c:v>
                </c:pt>
                <c:pt idx="7">
                  <c:v>-55</c:v>
                </c:pt>
                <c:pt idx="8">
                  <c:v>-50</c:v>
                </c:pt>
                <c:pt idx="9">
                  <c:v>-45</c:v>
                </c:pt>
                <c:pt idx="10">
                  <c:v>-40</c:v>
                </c:pt>
                <c:pt idx="11">
                  <c:v>-35</c:v>
                </c:pt>
                <c:pt idx="12">
                  <c:v>-30</c:v>
                </c:pt>
                <c:pt idx="13">
                  <c:v>-25</c:v>
                </c:pt>
                <c:pt idx="14">
                  <c:v>-20</c:v>
                </c:pt>
                <c:pt idx="15">
                  <c:v>-15</c:v>
                </c:pt>
                <c:pt idx="16">
                  <c:v>-10</c:v>
                </c:pt>
                <c:pt idx="17">
                  <c:v>-5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xVal>
          <c:yVal>
            <c:numRef>
              <c:f>'0807'!$N$89:$N$125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3136-CE42-A2D2-2D31A2189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467528"/>
        <c:axId val="670122896"/>
        <c:extLst/>
      </c:scatterChart>
      <c:valAx>
        <c:axId val="56446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0122896"/>
        <c:crosses val="autoZero"/>
        <c:crossBetween val="midCat"/>
      </c:valAx>
      <c:valAx>
        <c:axId val="6701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46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731346101266812E-2"/>
          <c:y val="2.2892061917550586E-2"/>
          <c:w val="0.95361401009342994"/>
          <c:h val="0.93992019253180792"/>
        </c:manualLayout>
      </c:layout>
      <c:scatterChart>
        <c:scatterStyle val="lineMarker"/>
        <c:varyColors val="0"/>
        <c:ser>
          <c:idx val="0"/>
          <c:order val="0"/>
          <c:tx>
            <c:strRef>
              <c:f>'0807培養試験管'!$B$1</c:f>
              <c:strCache>
                <c:ptCount val="1"/>
                <c:pt idx="0">
                  <c:v>0 分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'0807培養試験管'!$B$3:$B$39</c:f>
              <c:numCache>
                <c:formatCode>General</c:formatCode>
                <c:ptCount val="37"/>
                <c:pt idx="0">
                  <c:v>1239</c:v>
                </c:pt>
                <c:pt idx="1">
                  <c:v>1374</c:v>
                </c:pt>
                <c:pt idx="2">
                  <c:v>1169</c:v>
                </c:pt>
                <c:pt idx="3">
                  <c:v>1552</c:v>
                </c:pt>
                <c:pt idx="4">
                  <c:v>1157</c:v>
                </c:pt>
                <c:pt idx="5">
                  <c:v>1800</c:v>
                </c:pt>
                <c:pt idx="6">
                  <c:v>1205</c:v>
                </c:pt>
                <c:pt idx="7">
                  <c:v>2056</c:v>
                </c:pt>
                <c:pt idx="8">
                  <c:v>1307</c:v>
                </c:pt>
                <c:pt idx="9">
                  <c:v>2341</c:v>
                </c:pt>
                <c:pt idx="10">
                  <c:v>1474</c:v>
                </c:pt>
                <c:pt idx="11">
                  <c:v>2672</c:v>
                </c:pt>
                <c:pt idx="12">
                  <c:v>1658</c:v>
                </c:pt>
                <c:pt idx="13">
                  <c:v>3005</c:v>
                </c:pt>
                <c:pt idx="14">
                  <c:v>1902</c:v>
                </c:pt>
                <c:pt idx="15">
                  <c:v>3361</c:v>
                </c:pt>
                <c:pt idx="16">
                  <c:v>2189</c:v>
                </c:pt>
                <c:pt idx="17">
                  <c:v>3634</c:v>
                </c:pt>
                <c:pt idx="18">
                  <c:v>2500</c:v>
                </c:pt>
                <c:pt idx="19">
                  <c:v>3970</c:v>
                </c:pt>
                <c:pt idx="20">
                  <c:v>2807</c:v>
                </c:pt>
                <c:pt idx="21">
                  <c:v>431</c:v>
                </c:pt>
                <c:pt idx="22">
                  <c:v>3108</c:v>
                </c:pt>
                <c:pt idx="23">
                  <c:v>456</c:v>
                </c:pt>
                <c:pt idx="24">
                  <c:v>3428</c:v>
                </c:pt>
                <c:pt idx="25">
                  <c:v>474</c:v>
                </c:pt>
                <c:pt idx="26">
                  <c:v>373</c:v>
                </c:pt>
                <c:pt idx="27">
                  <c:v>489</c:v>
                </c:pt>
                <c:pt idx="28">
                  <c:v>401</c:v>
                </c:pt>
                <c:pt idx="29">
                  <c:v>500</c:v>
                </c:pt>
                <c:pt idx="30">
                  <c:v>421</c:v>
                </c:pt>
                <c:pt idx="31">
                  <c:v>504</c:v>
                </c:pt>
                <c:pt idx="32">
                  <c:v>446</c:v>
                </c:pt>
                <c:pt idx="33">
                  <c:v>505</c:v>
                </c:pt>
                <c:pt idx="34">
                  <c:v>459</c:v>
                </c:pt>
                <c:pt idx="35">
                  <c:v>495</c:v>
                </c:pt>
                <c:pt idx="36">
                  <c:v>475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4D9-4729-8CE6-B50C6FE2B56C}"/>
            </c:ext>
          </c:extLst>
        </c:ser>
        <c:ser>
          <c:idx val="1"/>
          <c:order val="1"/>
          <c:tx>
            <c:strRef>
              <c:f>'0807培養試験管'!$C$1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'0807培養試験管'!$C$3:$C$39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4D9-4729-8CE6-B50C6FE2B56C}"/>
            </c:ext>
          </c:extLst>
        </c:ser>
        <c:ser>
          <c:idx val="2"/>
          <c:order val="2"/>
          <c:tx>
            <c:strRef>
              <c:f>'0807培養試験管'!$D$1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'0807培養試験管'!$D$3:$D$39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4D9-4729-8CE6-B50C6FE2B56C}"/>
            </c:ext>
          </c:extLst>
        </c:ser>
        <c:ser>
          <c:idx val="3"/>
          <c:order val="3"/>
          <c:tx>
            <c:strRef>
              <c:f>'0807培養試験管'!$E$1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'0807培養試験管'!$E$3:$E$39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4D9-4729-8CE6-B50C6FE2B56C}"/>
            </c:ext>
          </c:extLst>
        </c:ser>
        <c:ser>
          <c:idx val="4"/>
          <c:order val="4"/>
          <c:tx>
            <c:strRef>
              <c:f>'0807培養試験管'!$F$1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'0807培養試験管'!$F$3:$F$39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4D9-4729-8CE6-B50C6FE2B56C}"/>
            </c:ext>
          </c:extLst>
        </c:ser>
        <c:ser>
          <c:idx val="5"/>
          <c:order val="5"/>
          <c:tx>
            <c:strRef>
              <c:f>'0807培養試験管'!$G$1</c:f>
              <c:strCache>
                <c:ptCount val="1"/>
              </c:strCache>
            </c:strRef>
          </c:tx>
          <c:spPr>
            <a:ln w="19050" cap="rnd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'0807培養試験管'!$G$3:$G$39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4D9-4729-8CE6-B50C6FE2B56C}"/>
            </c:ext>
          </c:extLst>
        </c:ser>
        <c:ser>
          <c:idx val="6"/>
          <c:order val="6"/>
          <c:tx>
            <c:strRef>
              <c:f>'0807培養試験管'!$H$1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'0807培養試験管'!$H$3:$H$39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4D9-4729-8CE6-B50C6FE2B56C}"/>
            </c:ext>
          </c:extLst>
        </c:ser>
        <c:ser>
          <c:idx val="7"/>
          <c:order val="7"/>
          <c:tx>
            <c:strRef>
              <c:f>'0807培養試験管'!$I$1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'0807培養試験管'!$I$3:$I$39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4D9-4729-8CE6-B50C6FE2B56C}"/>
            </c:ext>
          </c:extLst>
        </c:ser>
        <c:ser>
          <c:idx val="8"/>
          <c:order val="8"/>
          <c:tx>
            <c:strRef>
              <c:f>'0807培養試験管'!$J$1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'0807培養試験管'!$J$3:$J$39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E4D9-4729-8CE6-B50C6FE2B56C}"/>
            </c:ext>
          </c:extLst>
        </c:ser>
        <c:ser>
          <c:idx val="9"/>
          <c:order val="9"/>
          <c:tx>
            <c:strRef>
              <c:f>'0807培養試験管'!$K$1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'0807培養試験管'!$K$3:$K$39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E4D9-4729-8CE6-B50C6FE2B56C}"/>
            </c:ext>
          </c:extLst>
        </c:ser>
        <c:ser>
          <c:idx val="11"/>
          <c:order val="10"/>
          <c:tx>
            <c:strRef>
              <c:f>'0807培養試験管'!$L$1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'0807培養試験管'!$L$3:$L$39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E4D9-4729-8CE6-B50C6FE2B56C}"/>
            </c:ext>
          </c:extLst>
        </c:ser>
        <c:ser>
          <c:idx val="12"/>
          <c:order val="11"/>
          <c:tx>
            <c:strRef>
              <c:f>'0807培養試験管'!$M$1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'0807培養試験管'!$M$3:$M$39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E4D9-4729-8CE6-B50C6FE2B56C}"/>
            </c:ext>
          </c:extLst>
        </c:ser>
        <c:ser>
          <c:idx val="10"/>
          <c:order val="12"/>
          <c:tx>
            <c:strRef>
              <c:f>'0807培養試験管'!$N$1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'0807培養試験管'!$A$3:$A$39</c:f>
              <c:numCache>
                <c:formatCode>General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-5</c:v>
                </c:pt>
                <c:pt idx="3">
                  <c:v>10</c:v>
                </c:pt>
                <c:pt idx="4">
                  <c:v>-10</c:v>
                </c:pt>
                <c:pt idx="5">
                  <c:v>15</c:v>
                </c:pt>
                <c:pt idx="6">
                  <c:v>-15</c:v>
                </c:pt>
                <c:pt idx="7">
                  <c:v>20</c:v>
                </c:pt>
                <c:pt idx="8">
                  <c:v>-20</c:v>
                </c:pt>
                <c:pt idx="9">
                  <c:v>25</c:v>
                </c:pt>
                <c:pt idx="10">
                  <c:v>-25</c:v>
                </c:pt>
                <c:pt idx="11">
                  <c:v>30</c:v>
                </c:pt>
                <c:pt idx="12">
                  <c:v>-30</c:v>
                </c:pt>
                <c:pt idx="13">
                  <c:v>35</c:v>
                </c:pt>
                <c:pt idx="14">
                  <c:v>-35</c:v>
                </c:pt>
                <c:pt idx="15">
                  <c:v>40</c:v>
                </c:pt>
                <c:pt idx="16">
                  <c:v>-40</c:v>
                </c:pt>
                <c:pt idx="17">
                  <c:v>45</c:v>
                </c:pt>
                <c:pt idx="18">
                  <c:v>-45</c:v>
                </c:pt>
                <c:pt idx="19">
                  <c:v>50</c:v>
                </c:pt>
                <c:pt idx="20">
                  <c:v>-50</c:v>
                </c:pt>
                <c:pt idx="21">
                  <c:v>55</c:v>
                </c:pt>
                <c:pt idx="22">
                  <c:v>-55</c:v>
                </c:pt>
                <c:pt idx="23">
                  <c:v>60</c:v>
                </c:pt>
                <c:pt idx="24">
                  <c:v>-60</c:v>
                </c:pt>
                <c:pt idx="25">
                  <c:v>65</c:v>
                </c:pt>
                <c:pt idx="26">
                  <c:v>-65</c:v>
                </c:pt>
                <c:pt idx="27">
                  <c:v>70</c:v>
                </c:pt>
                <c:pt idx="28">
                  <c:v>-70</c:v>
                </c:pt>
                <c:pt idx="29">
                  <c:v>75</c:v>
                </c:pt>
                <c:pt idx="30">
                  <c:v>-75</c:v>
                </c:pt>
                <c:pt idx="31">
                  <c:v>80</c:v>
                </c:pt>
                <c:pt idx="32">
                  <c:v>-80</c:v>
                </c:pt>
                <c:pt idx="33">
                  <c:v>85</c:v>
                </c:pt>
                <c:pt idx="34">
                  <c:v>-85</c:v>
                </c:pt>
                <c:pt idx="35">
                  <c:v>90</c:v>
                </c:pt>
                <c:pt idx="36">
                  <c:v>-90</c:v>
                </c:pt>
              </c:numCache>
            </c:numRef>
          </c:xVal>
          <c:yVal>
            <c:numRef>
              <c:f>'0807培養試験管'!$N$3:$N$39</c:f>
              <c:numCache>
                <c:formatCode>General</c:formatCode>
                <c:ptCount val="37"/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E4D9-4729-8CE6-B50C6FE2B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467528"/>
        <c:axId val="670122896"/>
        <c:extLst/>
      </c:scatterChart>
      <c:valAx>
        <c:axId val="56446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0122896"/>
        <c:crosses val="autoZero"/>
        <c:crossBetween val="midCat"/>
      </c:valAx>
      <c:valAx>
        <c:axId val="67012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46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641011</xdr:colOff>
      <xdr:row>9</xdr:row>
      <xdr:rowOff>77002</xdr:rowOff>
    </xdr:from>
    <xdr:to>
      <xdr:col>15</xdr:col>
      <xdr:colOff>71648</xdr:colOff>
      <xdr:row>35</xdr:row>
      <xdr:rowOff>102938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61AC8B3-B499-4391-818A-5C77944E9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520853</xdr:colOff>
      <xdr:row>55</xdr:row>
      <xdr:rowOff>165890</xdr:rowOff>
    </xdr:from>
    <xdr:to>
      <xdr:col>14</xdr:col>
      <xdr:colOff>545353</xdr:colOff>
      <xdr:row>79</xdr:row>
      <xdr:rowOff>29880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7147416-AF08-4D57-940B-675A6B7C8E22}"/>
            </a:ext>
            <a:ext uri="{147F2762-F138-4A5C-976F-8EAC2B608ADB}">
              <a16:predDERef xmlns:a16="http://schemas.microsoft.com/office/drawing/2014/main" pred="{85710807-36D2-3A47-AB6D-A9ABBF26A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749974</xdr:colOff>
      <xdr:row>6</xdr:row>
      <xdr:rowOff>72088</xdr:rowOff>
    </xdr:from>
    <xdr:to>
      <xdr:col>14</xdr:col>
      <xdr:colOff>359838</xdr:colOff>
      <xdr:row>32</xdr:row>
      <xdr:rowOff>98024</xdr:rowOff>
    </xdr:to>
    <xdr:graphicFrame macro="">
      <xdr:nvGraphicFramePr>
        <xdr:cNvPr id="7" name="グラフ 1">
          <a:extLst>
            <a:ext uri="{FF2B5EF4-FFF2-40B4-BE49-F238E27FC236}">
              <a16:creationId xmlns:a16="http://schemas.microsoft.com/office/drawing/2014/main" id="{DEDCF074-4EF7-42BB-AF24-6949D912B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520853</xdr:colOff>
      <xdr:row>55</xdr:row>
      <xdr:rowOff>165890</xdr:rowOff>
    </xdr:from>
    <xdr:to>
      <xdr:col>14</xdr:col>
      <xdr:colOff>545353</xdr:colOff>
      <xdr:row>79</xdr:row>
      <xdr:rowOff>29880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29C4FDB-3A36-4F82-A53C-7573E199E46C}"/>
            </a:ext>
            <a:ext uri="{147F2762-F138-4A5C-976F-8EAC2B608ADB}">
              <a16:predDERef xmlns:a16="http://schemas.microsoft.com/office/drawing/2014/main" pred="{85710807-36D2-3A47-AB6D-A9ABBF26A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641011</xdr:colOff>
      <xdr:row>9</xdr:row>
      <xdr:rowOff>77002</xdr:rowOff>
    </xdr:from>
    <xdr:to>
      <xdr:col>15</xdr:col>
      <xdr:colOff>71648</xdr:colOff>
      <xdr:row>35</xdr:row>
      <xdr:rowOff>102938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5710807-36D2-3A47-AB6D-A9ABBF26A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520853</xdr:colOff>
      <xdr:row>55</xdr:row>
      <xdr:rowOff>165890</xdr:rowOff>
    </xdr:from>
    <xdr:to>
      <xdr:col>14</xdr:col>
      <xdr:colOff>545353</xdr:colOff>
      <xdr:row>79</xdr:row>
      <xdr:rowOff>29880</xdr:rowOff>
    </xdr:to>
    <xdr:graphicFrame macro="">
      <xdr:nvGraphicFramePr>
        <xdr:cNvPr id="19" name="グラフ 2">
          <a:extLst>
            <a:ext uri="{FF2B5EF4-FFF2-40B4-BE49-F238E27FC236}">
              <a16:creationId xmlns:a16="http://schemas.microsoft.com/office/drawing/2014/main" id="{E45D50EE-CB5E-AF4A-821A-67B93DDF87C6}"/>
            </a:ext>
            <a:ext uri="{147F2762-F138-4A5C-976F-8EAC2B608ADB}">
              <a16:predDERef xmlns:a16="http://schemas.microsoft.com/office/drawing/2014/main" pred="{85710807-36D2-3A47-AB6D-A9ABBF26A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56029</xdr:colOff>
      <xdr:row>1</xdr:row>
      <xdr:rowOff>82922</xdr:rowOff>
    </xdr:from>
    <xdr:to>
      <xdr:col>25</xdr:col>
      <xdr:colOff>530678</xdr:colOff>
      <xdr:row>27</xdr:row>
      <xdr:rowOff>108858</xdr:rowOff>
    </xdr:to>
    <xdr:graphicFrame macro="">
      <xdr:nvGraphicFramePr>
        <xdr:cNvPr id="3" name="グラフ 1">
          <a:extLst>
            <a:ext uri="{FF2B5EF4-FFF2-40B4-BE49-F238E27FC236}">
              <a16:creationId xmlns:a16="http://schemas.microsoft.com/office/drawing/2014/main" id="{31835098-78C9-4B36-B9C2-7991E28A4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CF00-BA6A-4089-AFCA-FBC22BE61A38}">
  <dimension ref="A1:N125"/>
  <sheetViews>
    <sheetView zoomScale="70" zoomScaleNormal="70" workbookViewId="0">
      <selection activeCell="E32" sqref="E32"/>
    </sheetView>
  </sheetViews>
  <sheetFormatPr defaultRowHeight="18.75" x14ac:dyDescent="0.4"/>
  <cols>
    <col min="1" max="1" width="10" customWidth="1"/>
    <col min="2" max="2" width="10.25" customWidth="1"/>
    <col min="3" max="14" width="9.75" customWidth="1"/>
    <col min="15" max="15" width="12.125" bestFit="1" customWidth="1"/>
  </cols>
  <sheetData>
    <row r="1" spans="1:14" x14ac:dyDescent="0.4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4">
      <c r="A3" s="5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4">
      <c r="A4" s="5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4">
      <c r="A5" s="5">
        <v>-5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4">
      <c r="A6" s="5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4">
      <c r="A7" s="5">
        <v>-10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4">
      <c r="A8" s="5">
        <v>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4">
      <c r="A9" s="5">
        <v>-15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4">
      <c r="A10" s="5">
        <v>20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4">
      <c r="A11" s="5">
        <v>-20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4">
      <c r="A12" s="5">
        <v>25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4">
      <c r="A13" s="5">
        <v>-25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4">
      <c r="A14" s="5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4">
      <c r="A15" s="5">
        <v>-30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4">
      <c r="A16" s="5">
        <v>35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4">
      <c r="A17" s="5">
        <v>-35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4">
      <c r="A18" s="5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4">
      <c r="A19" s="5">
        <v>-40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4">
      <c r="A20" s="5">
        <v>45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4">
      <c r="A21" s="5">
        <v>-45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4">
      <c r="A22" s="5">
        <v>50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4">
      <c r="A23" s="5">
        <v>-50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4">
      <c r="A24" s="5">
        <v>55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4">
      <c r="A25" s="5">
        <v>-55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4">
      <c r="A26" s="5">
        <v>60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4">
      <c r="A27" s="5">
        <v>-60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4">
      <c r="A28" s="5">
        <v>65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4">
      <c r="A29" s="5">
        <v>-65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4">
      <c r="A30" s="5">
        <v>70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4">
      <c r="A31" s="5">
        <v>-70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4">
      <c r="A32" s="5">
        <v>75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4">
      <c r="A33" s="5">
        <v>-75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4">
      <c r="A34" s="5">
        <v>80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4">
      <c r="A35" s="5">
        <v>-80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4">
      <c r="A36" s="5">
        <v>85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4">
      <c r="A37" s="5">
        <v>-85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4">
      <c r="A38" s="5">
        <v>90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4">
      <c r="A39" s="5">
        <v>-90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4">
      <c r="A40">
        <v>1</v>
      </c>
    </row>
    <row r="41" spans="1:14" ht="19.5" thickBot="1" x14ac:dyDescent="0.4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4">
      <c r="B42" s="8" t="e">
        <f t="shared" ref="B42:N42" si="0">IF(ISBLANK(B1),NA(),B1)</f>
        <v>#N/A</v>
      </c>
      <c r="C42" s="8" t="e">
        <f t="shared" si="0"/>
        <v>#N/A</v>
      </c>
      <c r="D42" s="8" t="e">
        <f t="shared" si="0"/>
        <v>#N/A</v>
      </c>
      <c r="E42" s="8" t="e">
        <f t="shared" si="0"/>
        <v>#N/A</v>
      </c>
      <c r="F42" s="8" t="e">
        <f t="shared" si="0"/>
        <v>#N/A</v>
      </c>
      <c r="G42" s="8" t="e">
        <f t="shared" si="0"/>
        <v>#N/A</v>
      </c>
      <c r="H42" s="8" t="e">
        <f t="shared" si="0"/>
        <v>#N/A</v>
      </c>
      <c r="I42" s="8" t="e">
        <f t="shared" si="0"/>
        <v>#N/A</v>
      </c>
      <c r="J42" s="8" t="e">
        <f t="shared" si="0"/>
        <v>#N/A</v>
      </c>
      <c r="K42" s="8" t="e">
        <f t="shared" si="0"/>
        <v>#N/A</v>
      </c>
      <c r="L42" s="8" t="e">
        <f t="shared" si="0"/>
        <v>#N/A</v>
      </c>
      <c r="M42" s="8" t="e">
        <f t="shared" si="0"/>
        <v>#N/A</v>
      </c>
      <c r="N42" s="8" t="e">
        <f t="shared" si="0"/>
        <v>#N/A</v>
      </c>
    </row>
    <row r="43" spans="1:14" x14ac:dyDescent="0.4">
      <c r="A43" s="5">
        <v>-90</v>
      </c>
      <c r="B43" s="6" t="e" cm="1">
        <f t="array" ref="B43">_xlfn.LET(_xlpm.v,INDEX(B$3:B$39,MATCH($A43,$A$3:$A$39,0)),IF(ISBLANK(_xlpm.v),NA(),_xlpm.v))</f>
        <v>#N/A</v>
      </c>
      <c r="C43" s="6" t="e" cm="1">
        <f t="array" ref="C43">_xlfn.LET(_xlpm.v,INDEX(C$3:C$39,MATCH($A43,$A$3:$A$39,0)),IF(ISBLANK(_xlpm.v),NA(),_xlpm.v))</f>
        <v>#N/A</v>
      </c>
      <c r="D43" s="6" t="e" cm="1">
        <f t="array" ref="D43">_xlfn.LET(_xlpm.v,INDEX(D$3:D$39,MATCH($A43,$A$3:$A$39,0)),IF(ISBLANK(_xlpm.v),NA(),_xlpm.v))</f>
        <v>#N/A</v>
      </c>
      <c r="E43" s="6" t="e" cm="1">
        <f t="array" ref="E43">_xlfn.LET(_xlpm.v,INDEX(E$3:E$39,MATCH($A43,$A$3:$A$39,0)),IF(ISBLANK(_xlpm.v),NA(),_xlpm.v))</f>
        <v>#N/A</v>
      </c>
      <c r="F43" s="6" t="e" cm="1">
        <f t="array" ref="F43">_xlfn.LET(_xlpm.v,INDEX(F$3:F$39,MATCH($A43,$A$3:$A$39,0)),IF(ISBLANK(_xlpm.v),NA(),_xlpm.v))</f>
        <v>#N/A</v>
      </c>
      <c r="G43" s="6" t="e" cm="1">
        <f t="array" ref="G43">_xlfn.LET(_xlpm.v,INDEX(G$3:G$39,MATCH($A43,$A$3:$A$39,0)),IF(ISBLANK(_xlpm.v),NA(),_xlpm.v))</f>
        <v>#N/A</v>
      </c>
      <c r="H43" s="6" t="e" cm="1">
        <f t="array" ref="H43">_xlfn.LET(_xlpm.v,INDEX(H$3:H$39,MATCH($A43,$A$3:$A$39,0)),IF(ISBLANK(_xlpm.v),NA(),_xlpm.v))</f>
        <v>#N/A</v>
      </c>
      <c r="I43" s="6" t="e" cm="1">
        <f t="array" ref="I43">_xlfn.LET(_xlpm.v,INDEX(I$3:I$39,MATCH($A43,$A$3:$A$39,0)),IF(ISBLANK(_xlpm.v),NA(),_xlpm.v))</f>
        <v>#N/A</v>
      </c>
      <c r="J43" s="6" t="e" cm="1">
        <f t="array" ref="J43">_xlfn.LET(_xlpm.v,INDEX(J$3:J$39,MATCH($A43,$A$3:$A$39,0)),IF(ISBLANK(_xlpm.v),NA(),_xlpm.v))</f>
        <v>#N/A</v>
      </c>
      <c r="K43" s="6" t="e" cm="1">
        <f t="array" ref="K43">_xlfn.LET(_xlpm.v,INDEX(K$3:K$39,MATCH($A43,$A$3:$A$39,0)),IF(ISBLANK(_xlpm.v),NA(),_xlpm.v))</f>
        <v>#N/A</v>
      </c>
      <c r="L43" s="6" t="e" cm="1">
        <f t="array" ref="L43">_xlfn.LET(_xlpm.v,INDEX(L$3:L$39,MATCH($A43,$A$3:$A$39,0)),IF(ISBLANK(_xlpm.v),NA(),_xlpm.v))</f>
        <v>#N/A</v>
      </c>
      <c r="M43" s="6" t="e" cm="1">
        <f t="array" ref="M43">_xlfn.LET(_xlpm.v,INDEX(M$3:M$39,MATCH($A43,$A$3:$A$39,0)),IF(ISBLANK(_xlpm.v),NA(),_xlpm.v))</f>
        <v>#N/A</v>
      </c>
      <c r="N43" s="6" t="e" cm="1">
        <f t="array" ref="N43">_xlfn.LET(_xlpm.v,INDEX(N$3:N$39,MATCH($A43,$A$3:$A$39,0)),IF(ISBLANK(_xlpm.v),NA(),_xlpm.v))</f>
        <v>#N/A</v>
      </c>
    </row>
    <row r="44" spans="1:14" x14ac:dyDescent="0.4">
      <c r="A44" s="5">
        <v>-85</v>
      </c>
      <c r="B44" s="6" t="e" cm="1">
        <f t="array" ref="B44">_xlfn.LET(_xlpm.v,INDEX(B$3:B$39,MATCH($A44,$A$3:$A$39,0)),IF(ISBLANK(_xlpm.v),NA(),_xlpm.v))</f>
        <v>#N/A</v>
      </c>
      <c r="C44" s="6" t="e" cm="1">
        <f t="array" ref="C44">_xlfn.LET(_xlpm.v,INDEX(C$3:C$39,MATCH($A44,$A$3:$A$39,0)),IF(ISBLANK(_xlpm.v),NA(),_xlpm.v))</f>
        <v>#N/A</v>
      </c>
      <c r="D44" s="6" t="e" cm="1">
        <f t="array" ref="D44">_xlfn.LET(_xlpm.v,INDEX(D$3:D$39,MATCH($A44,$A$3:$A$39,0)),IF(ISBLANK(_xlpm.v),NA(),_xlpm.v))</f>
        <v>#N/A</v>
      </c>
      <c r="E44" s="6" t="e" cm="1">
        <f t="array" ref="E44">_xlfn.LET(_xlpm.v,INDEX(E$3:E$39,MATCH($A44,$A$3:$A$39,0)),IF(ISBLANK(_xlpm.v),NA(),_xlpm.v))</f>
        <v>#N/A</v>
      </c>
      <c r="F44" s="6" t="e" cm="1">
        <f t="array" ref="F44">_xlfn.LET(_xlpm.v,INDEX(F$3:F$39,MATCH($A44,$A$3:$A$39,0)),IF(ISBLANK(_xlpm.v),NA(),_xlpm.v))</f>
        <v>#N/A</v>
      </c>
      <c r="G44" s="6" t="e" cm="1">
        <f t="array" ref="G44">_xlfn.LET(_xlpm.v,INDEX(G$3:G$39,MATCH($A44,$A$3:$A$39,0)),IF(ISBLANK(_xlpm.v),NA(),_xlpm.v))</f>
        <v>#N/A</v>
      </c>
      <c r="H44" s="6" t="e" cm="1">
        <f t="array" ref="H44">_xlfn.LET(_xlpm.v,INDEX(H$3:H$39,MATCH($A44,$A$3:$A$39,0)),IF(ISBLANK(_xlpm.v),NA(),_xlpm.v))</f>
        <v>#N/A</v>
      </c>
      <c r="I44" s="6" t="e" cm="1">
        <f t="array" ref="I44">_xlfn.LET(_xlpm.v,INDEX(I$3:I$39,MATCH($A44,$A$3:$A$39,0)),IF(ISBLANK(_xlpm.v),NA(),_xlpm.v))</f>
        <v>#N/A</v>
      </c>
      <c r="J44" s="6" t="e" cm="1">
        <f t="array" ref="J44">_xlfn.LET(_xlpm.v,INDEX(J$3:J$39,MATCH($A44,$A$3:$A$39,0)),IF(ISBLANK(_xlpm.v),NA(),_xlpm.v))</f>
        <v>#N/A</v>
      </c>
      <c r="K44" s="6" t="e" cm="1">
        <f t="array" ref="K44">_xlfn.LET(_xlpm.v,INDEX(K$3:K$39,MATCH($A44,$A$3:$A$39,0)),IF(ISBLANK(_xlpm.v),NA(),_xlpm.v))</f>
        <v>#N/A</v>
      </c>
      <c r="L44" s="6" t="e" cm="1">
        <f t="array" ref="L44">_xlfn.LET(_xlpm.v,INDEX(L$3:L$39,MATCH($A44,$A$3:$A$39,0)),IF(ISBLANK(_xlpm.v),NA(),_xlpm.v))</f>
        <v>#N/A</v>
      </c>
      <c r="M44" s="6" t="e" cm="1">
        <f t="array" ref="M44">_xlfn.LET(_xlpm.v,INDEX(M$3:M$39,MATCH($A44,$A$3:$A$39,0)),IF(ISBLANK(_xlpm.v),NA(),_xlpm.v))</f>
        <v>#N/A</v>
      </c>
      <c r="N44" s="6" t="e" cm="1">
        <f t="array" ref="N44">_xlfn.LET(_xlpm.v,INDEX(N$3:N$39,MATCH($A44,$A$3:$A$39,0)),IF(ISBLANK(_xlpm.v),NA(),_xlpm.v))</f>
        <v>#N/A</v>
      </c>
    </row>
    <row r="45" spans="1:14" x14ac:dyDescent="0.4">
      <c r="A45" s="5">
        <v>-80</v>
      </c>
      <c r="B45" s="6" t="e" cm="1">
        <f t="array" ref="B45">_xlfn.LET(_xlpm.v,INDEX(B$3:B$39,MATCH($A45,$A$3:$A$39,0)),IF(ISBLANK(_xlpm.v),NA(),_xlpm.v))</f>
        <v>#N/A</v>
      </c>
      <c r="C45" s="6" t="e" cm="1">
        <f t="array" ref="C45">_xlfn.LET(_xlpm.v,INDEX(C$3:C$39,MATCH($A45,$A$3:$A$39,0)),IF(ISBLANK(_xlpm.v),NA(),_xlpm.v))</f>
        <v>#N/A</v>
      </c>
      <c r="D45" s="6" t="e" cm="1">
        <f t="array" ref="D45">_xlfn.LET(_xlpm.v,INDEX(D$3:D$39,MATCH($A45,$A$3:$A$39,0)),IF(ISBLANK(_xlpm.v),NA(),_xlpm.v))</f>
        <v>#N/A</v>
      </c>
      <c r="E45" s="6" t="e" cm="1">
        <f t="array" ref="E45">_xlfn.LET(_xlpm.v,INDEX(E$3:E$39,MATCH($A45,$A$3:$A$39,0)),IF(ISBLANK(_xlpm.v),NA(),_xlpm.v))</f>
        <v>#N/A</v>
      </c>
      <c r="F45" s="6" t="e" cm="1">
        <f t="array" ref="F45">_xlfn.LET(_xlpm.v,INDEX(F$3:F$39,MATCH($A45,$A$3:$A$39,0)),IF(ISBLANK(_xlpm.v),NA(),_xlpm.v))</f>
        <v>#N/A</v>
      </c>
      <c r="G45" s="6" t="e" cm="1">
        <f t="array" ref="G45">_xlfn.LET(_xlpm.v,INDEX(G$3:G$39,MATCH($A45,$A$3:$A$39,0)),IF(ISBLANK(_xlpm.v),NA(),_xlpm.v))</f>
        <v>#N/A</v>
      </c>
      <c r="H45" s="6" t="e" cm="1">
        <f t="array" ref="H45">_xlfn.LET(_xlpm.v,INDEX(H$3:H$39,MATCH($A45,$A$3:$A$39,0)),IF(ISBLANK(_xlpm.v),NA(),_xlpm.v))</f>
        <v>#N/A</v>
      </c>
      <c r="I45" s="6" t="e" cm="1">
        <f t="array" ref="I45">_xlfn.LET(_xlpm.v,INDEX(I$3:I$39,MATCH($A45,$A$3:$A$39,0)),IF(ISBLANK(_xlpm.v),NA(),_xlpm.v))</f>
        <v>#N/A</v>
      </c>
      <c r="J45" s="6" t="e" cm="1">
        <f t="array" ref="J45">_xlfn.LET(_xlpm.v,INDEX(J$3:J$39,MATCH($A45,$A$3:$A$39,0)),IF(ISBLANK(_xlpm.v),NA(),_xlpm.v))</f>
        <v>#N/A</v>
      </c>
      <c r="K45" s="6" t="e" cm="1">
        <f t="array" ref="K45">_xlfn.LET(_xlpm.v,INDEX(K$3:K$39,MATCH($A45,$A$3:$A$39,0)),IF(ISBLANK(_xlpm.v),NA(),_xlpm.v))</f>
        <v>#N/A</v>
      </c>
      <c r="L45" s="6" t="e" cm="1">
        <f t="array" ref="L45">_xlfn.LET(_xlpm.v,INDEX(L$3:L$39,MATCH($A45,$A$3:$A$39,0)),IF(ISBLANK(_xlpm.v),NA(),_xlpm.v))</f>
        <v>#N/A</v>
      </c>
      <c r="M45" s="6" t="e" cm="1">
        <f t="array" ref="M45">_xlfn.LET(_xlpm.v,INDEX(M$3:M$39,MATCH($A45,$A$3:$A$39,0)),IF(ISBLANK(_xlpm.v),NA(),_xlpm.v))</f>
        <v>#N/A</v>
      </c>
      <c r="N45" s="6" t="e" cm="1">
        <f t="array" ref="N45">_xlfn.LET(_xlpm.v,INDEX(N$3:N$39,MATCH($A45,$A$3:$A$39,0)),IF(ISBLANK(_xlpm.v),NA(),_xlpm.v))</f>
        <v>#N/A</v>
      </c>
    </row>
    <row r="46" spans="1:14" x14ac:dyDescent="0.4">
      <c r="A46" s="5">
        <v>-75</v>
      </c>
      <c r="B46" s="6" t="e" cm="1">
        <f t="array" ref="B46">_xlfn.LET(_xlpm.v,INDEX(B$3:B$39,MATCH($A46,$A$3:$A$39,0)),IF(ISBLANK(_xlpm.v),NA(),_xlpm.v))</f>
        <v>#N/A</v>
      </c>
      <c r="C46" s="6" t="e" cm="1">
        <f t="array" ref="C46">_xlfn.LET(_xlpm.v,INDEX(C$3:C$39,MATCH($A46,$A$3:$A$39,0)),IF(ISBLANK(_xlpm.v),NA(),_xlpm.v))</f>
        <v>#N/A</v>
      </c>
      <c r="D46" s="6" t="e" cm="1">
        <f t="array" ref="D46">_xlfn.LET(_xlpm.v,INDEX(D$3:D$39,MATCH($A46,$A$3:$A$39,0)),IF(ISBLANK(_xlpm.v),NA(),_xlpm.v))</f>
        <v>#N/A</v>
      </c>
      <c r="E46" s="6" t="e" cm="1">
        <f t="array" ref="E46">_xlfn.LET(_xlpm.v,INDEX(E$3:E$39,MATCH($A46,$A$3:$A$39,0)),IF(ISBLANK(_xlpm.v),NA(),_xlpm.v))</f>
        <v>#N/A</v>
      </c>
      <c r="F46" s="6" t="e" cm="1">
        <f t="array" ref="F46">_xlfn.LET(_xlpm.v,INDEX(F$3:F$39,MATCH($A46,$A$3:$A$39,0)),IF(ISBLANK(_xlpm.v),NA(),_xlpm.v))</f>
        <v>#N/A</v>
      </c>
      <c r="G46" s="6" t="e" cm="1">
        <f t="array" ref="G46">_xlfn.LET(_xlpm.v,INDEX(G$3:G$39,MATCH($A46,$A$3:$A$39,0)),IF(ISBLANK(_xlpm.v),NA(),_xlpm.v))</f>
        <v>#N/A</v>
      </c>
      <c r="H46" s="6" t="e" cm="1">
        <f t="array" ref="H46">_xlfn.LET(_xlpm.v,INDEX(H$3:H$39,MATCH($A46,$A$3:$A$39,0)),IF(ISBLANK(_xlpm.v),NA(),_xlpm.v))</f>
        <v>#N/A</v>
      </c>
      <c r="I46" s="6" t="e" cm="1">
        <f t="array" ref="I46">_xlfn.LET(_xlpm.v,INDEX(I$3:I$39,MATCH($A46,$A$3:$A$39,0)),IF(ISBLANK(_xlpm.v),NA(),_xlpm.v))</f>
        <v>#N/A</v>
      </c>
      <c r="J46" s="6" t="e" cm="1">
        <f t="array" ref="J46">_xlfn.LET(_xlpm.v,INDEX(J$3:J$39,MATCH($A46,$A$3:$A$39,0)),IF(ISBLANK(_xlpm.v),NA(),_xlpm.v))</f>
        <v>#N/A</v>
      </c>
      <c r="K46" s="6" t="e" cm="1">
        <f t="array" ref="K46">_xlfn.LET(_xlpm.v,INDEX(K$3:K$39,MATCH($A46,$A$3:$A$39,0)),IF(ISBLANK(_xlpm.v),NA(),_xlpm.v))</f>
        <v>#N/A</v>
      </c>
      <c r="L46" s="6" t="e" cm="1">
        <f t="array" ref="L46">_xlfn.LET(_xlpm.v,INDEX(L$3:L$39,MATCH($A46,$A$3:$A$39,0)),IF(ISBLANK(_xlpm.v),NA(),_xlpm.v))</f>
        <v>#N/A</v>
      </c>
      <c r="M46" s="6" t="e" cm="1">
        <f t="array" ref="M46">_xlfn.LET(_xlpm.v,INDEX(M$3:M$39,MATCH($A46,$A$3:$A$39,0)),IF(ISBLANK(_xlpm.v),NA(),_xlpm.v))</f>
        <v>#N/A</v>
      </c>
      <c r="N46" s="6" t="e" cm="1">
        <f t="array" ref="N46">_xlfn.LET(_xlpm.v,INDEX(N$3:N$39,MATCH($A46,$A$3:$A$39,0)),IF(ISBLANK(_xlpm.v),NA(),_xlpm.v))</f>
        <v>#N/A</v>
      </c>
    </row>
    <row r="47" spans="1:14" x14ac:dyDescent="0.4">
      <c r="A47" s="5">
        <v>-70</v>
      </c>
      <c r="B47" s="6" t="e" cm="1">
        <f t="array" ref="B47">_xlfn.LET(_xlpm.v,INDEX(B$3:B$39,MATCH($A47,$A$3:$A$39,0)),IF(ISBLANK(_xlpm.v),NA(),_xlpm.v))</f>
        <v>#N/A</v>
      </c>
      <c r="C47" s="6" t="e" cm="1">
        <f t="array" ref="C47">_xlfn.LET(_xlpm.v,INDEX(C$3:C$39,MATCH($A47,$A$3:$A$39,0)),IF(ISBLANK(_xlpm.v),NA(),_xlpm.v))</f>
        <v>#N/A</v>
      </c>
      <c r="D47" s="6" t="e" cm="1">
        <f t="array" ref="D47">_xlfn.LET(_xlpm.v,INDEX(D$3:D$39,MATCH($A47,$A$3:$A$39,0)),IF(ISBLANK(_xlpm.v),NA(),_xlpm.v))</f>
        <v>#N/A</v>
      </c>
      <c r="E47" s="6" t="e" cm="1">
        <f t="array" ref="E47">_xlfn.LET(_xlpm.v,INDEX(E$3:E$39,MATCH($A47,$A$3:$A$39,0)),IF(ISBLANK(_xlpm.v),NA(),_xlpm.v))</f>
        <v>#N/A</v>
      </c>
      <c r="F47" s="6" t="e" cm="1">
        <f t="array" ref="F47">_xlfn.LET(_xlpm.v,INDEX(F$3:F$39,MATCH($A47,$A$3:$A$39,0)),IF(ISBLANK(_xlpm.v),NA(),_xlpm.v))</f>
        <v>#N/A</v>
      </c>
      <c r="G47" s="6" t="e" cm="1">
        <f t="array" ref="G47">_xlfn.LET(_xlpm.v,INDEX(G$3:G$39,MATCH($A47,$A$3:$A$39,0)),IF(ISBLANK(_xlpm.v),NA(),_xlpm.v))</f>
        <v>#N/A</v>
      </c>
      <c r="H47" s="6" t="e" cm="1">
        <f t="array" ref="H47">_xlfn.LET(_xlpm.v,INDEX(H$3:H$39,MATCH($A47,$A$3:$A$39,0)),IF(ISBLANK(_xlpm.v),NA(),_xlpm.v))</f>
        <v>#N/A</v>
      </c>
      <c r="I47" s="6" t="e" cm="1">
        <f t="array" ref="I47">_xlfn.LET(_xlpm.v,INDEX(I$3:I$39,MATCH($A47,$A$3:$A$39,0)),IF(ISBLANK(_xlpm.v),NA(),_xlpm.v))</f>
        <v>#N/A</v>
      </c>
      <c r="J47" s="6" t="e" cm="1">
        <f t="array" ref="J47">_xlfn.LET(_xlpm.v,INDEX(J$3:J$39,MATCH($A47,$A$3:$A$39,0)),IF(ISBLANK(_xlpm.v),NA(),_xlpm.v))</f>
        <v>#N/A</v>
      </c>
      <c r="K47" s="6" t="e" cm="1">
        <f t="array" ref="K47">_xlfn.LET(_xlpm.v,INDEX(K$3:K$39,MATCH($A47,$A$3:$A$39,0)),IF(ISBLANK(_xlpm.v),NA(),_xlpm.v))</f>
        <v>#N/A</v>
      </c>
      <c r="L47" s="6" t="e" cm="1">
        <f t="array" ref="L47">_xlfn.LET(_xlpm.v,INDEX(L$3:L$39,MATCH($A47,$A$3:$A$39,0)),IF(ISBLANK(_xlpm.v),NA(),_xlpm.v))</f>
        <v>#N/A</v>
      </c>
      <c r="M47" s="6" t="e" cm="1">
        <f t="array" ref="M47">_xlfn.LET(_xlpm.v,INDEX(M$3:M$39,MATCH($A47,$A$3:$A$39,0)),IF(ISBLANK(_xlpm.v),NA(),_xlpm.v))</f>
        <v>#N/A</v>
      </c>
      <c r="N47" s="6" t="e" cm="1">
        <f t="array" ref="N47">_xlfn.LET(_xlpm.v,INDEX(N$3:N$39,MATCH($A47,$A$3:$A$39,0)),IF(ISBLANK(_xlpm.v),NA(),_xlpm.v))</f>
        <v>#N/A</v>
      </c>
    </row>
    <row r="48" spans="1:14" x14ac:dyDescent="0.4">
      <c r="A48" s="5">
        <v>-65</v>
      </c>
      <c r="B48" s="6" t="e" cm="1">
        <f t="array" ref="B48">_xlfn.LET(_xlpm.v,INDEX(B$3:B$39,MATCH($A48,$A$3:$A$39,0)),IF(ISBLANK(_xlpm.v),NA(),_xlpm.v))</f>
        <v>#N/A</v>
      </c>
      <c r="C48" s="6" t="e" cm="1">
        <f t="array" ref="C48">_xlfn.LET(_xlpm.v,INDEX(C$3:C$39,MATCH($A48,$A$3:$A$39,0)),IF(ISBLANK(_xlpm.v),NA(),_xlpm.v))</f>
        <v>#N/A</v>
      </c>
      <c r="D48" s="6" t="e" cm="1">
        <f t="array" ref="D48">_xlfn.LET(_xlpm.v,INDEX(D$3:D$39,MATCH($A48,$A$3:$A$39,0)),IF(ISBLANK(_xlpm.v),NA(),_xlpm.v))</f>
        <v>#N/A</v>
      </c>
      <c r="E48" s="6" t="e" cm="1">
        <f t="array" ref="E48">_xlfn.LET(_xlpm.v,INDEX(E$3:E$39,MATCH($A48,$A$3:$A$39,0)),IF(ISBLANK(_xlpm.v),NA(),_xlpm.v))</f>
        <v>#N/A</v>
      </c>
      <c r="F48" s="6" t="e" cm="1">
        <f t="array" ref="F48">_xlfn.LET(_xlpm.v,INDEX(F$3:F$39,MATCH($A48,$A$3:$A$39,0)),IF(ISBLANK(_xlpm.v),NA(),_xlpm.v))</f>
        <v>#N/A</v>
      </c>
      <c r="G48" s="6" t="e" cm="1">
        <f t="array" ref="G48">_xlfn.LET(_xlpm.v,INDEX(G$3:G$39,MATCH($A48,$A$3:$A$39,0)),IF(ISBLANK(_xlpm.v),NA(),_xlpm.v))</f>
        <v>#N/A</v>
      </c>
      <c r="H48" s="6" t="e" cm="1">
        <f t="array" ref="H48">_xlfn.LET(_xlpm.v,INDEX(H$3:H$39,MATCH($A48,$A$3:$A$39,0)),IF(ISBLANK(_xlpm.v),NA(),_xlpm.v))</f>
        <v>#N/A</v>
      </c>
      <c r="I48" s="6" t="e" cm="1">
        <f t="array" ref="I48">_xlfn.LET(_xlpm.v,INDEX(I$3:I$39,MATCH($A48,$A$3:$A$39,0)),IF(ISBLANK(_xlpm.v),NA(),_xlpm.v))</f>
        <v>#N/A</v>
      </c>
      <c r="J48" s="6" t="e" cm="1">
        <f t="array" ref="J48">_xlfn.LET(_xlpm.v,INDEX(J$3:J$39,MATCH($A48,$A$3:$A$39,0)),IF(ISBLANK(_xlpm.v),NA(),_xlpm.v))</f>
        <v>#N/A</v>
      </c>
      <c r="K48" s="6" t="e" cm="1">
        <f t="array" ref="K48">_xlfn.LET(_xlpm.v,INDEX(K$3:K$39,MATCH($A48,$A$3:$A$39,0)),IF(ISBLANK(_xlpm.v),NA(),_xlpm.v))</f>
        <v>#N/A</v>
      </c>
      <c r="L48" s="6" t="e" cm="1">
        <f t="array" ref="L48">_xlfn.LET(_xlpm.v,INDEX(L$3:L$39,MATCH($A48,$A$3:$A$39,0)),IF(ISBLANK(_xlpm.v),NA(),_xlpm.v))</f>
        <v>#N/A</v>
      </c>
      <c r="M48" s="6" t="e" cm="1">
        <f t="array" ref="M48">_xlfn.LET(_xlpm.v,INDEX(M$3:M$39,MATCH($A48,$A$3:$A$39,0)),IF(ISBLANK(_xlpm.v),NA(),_xlpm.v))</f>
        <v>#N/A</v>
      </c>
      <c r="N48" s="6" t="e" cm="1">
        <f t="array" ref="N48">_xlfn.LET(_xlpm.v,INDEX(N$3:N$39,MATCH($A48,$A$3:$A$39,0)),IF(ISBLANK(_xlpm.v),NA(),_xlpm.v))</f>
        <v>#N/A</v>
      </c>
    </row>
    <row r="49" spans="1:14" x14ac:dyDescent="0.4">
      <c r="A49" s="5">
        <v>-60</v>
      </c>
      <c r="B49" s="6" t="e" cm="1">
        <f t="array" ref="B49">_xlfn.LET(_xlpm.v,INDEX(B$3:B$39,MATCH($A49,$A$3:$A$39,0)),IF(ISBLANK(_xlpm.v),NA(),_xlpm.v))</f>
        <v>#N/A</v>
      </c>
      <c r="C49" s="6" t="e" cm="1">
        <f t="array" ref="C49">_xlfn.LET(_xlpm.v,INDEX(C$3:C$39,MATCH($A49,$A$3:$A$39,0)),IF(ISBLANK(_xlpm.v),NA(),_xlpm.v))</f>
        <v>#N/A</v>
      </c>
      <c r="D49" s="6" t="e" cm="1">
        <f t="array" ref="D49">_xlfn.LET(_xlpm.v,INDEX(D$3:D$39,MATCH($A49,$A$3:$A$39,0)),IF(ISBLANK(_xlpm.v),NA(),_xlpm.v))</f>
        <v>#N/A</v>
      </c>
      <c r="E49" s="6" t="e" cm="1">
        <f t="array" ref="E49">_xlfn.LET(_xlpm.v,INDEX(E$3:E$39,MATCH($A49,$A$3:$A$39,0)),IF(ISBLANK(_xlpm.v),NA(),_xlpm.v))</f>
        <v>#N/A</v>
      </c>
      <c r="F49" s="6" t="e" cm="1">
        <f t="array" ref="F49">_xlfn.LET(_xlpm.v,INDEX(F$3:F$39,MATCH($A49,$A$3:$A$39,0)),IF(ISBLANK(_xlpm.v),NA(),_xlpm.v))</f>
        <v>#N/A</v>
      </c>
      <c r="G49" s="6" t="e" cm="1">
        <f t="array" ref="G49">_xlfn.LET(_xlpm.v,INDEX(G$3:G$39,MATCH($A49,$A$3:$A$39,0)),IF(ISBLANK(_xlpm.v),NA(),_xlpm.v))</f>
        <v>#N/A</v>
      </c>
      <c r="H49" s="6" t="e" cm="1">
        <f t="array" ref="H49">_xlfn.LET(_xlpm.v,INDEX(H$3:H$39,MATCH($A49,$A$3:$A$39,0)),IF(ISBLANK(_xlpm.v),NA(),_xlpm.v))</f>
        <v>#N/A</v>
      </c>
      <c r="I49" s="6" t="e" cm="1">
        <f t="array" ref="I49">_xlfn.LET(_xlpm.v,INDEX(I$3:I$39,MATCH($A49,$A$3:$A$39,0)),IF(ISBLANK(_xlpm.v),NA(),_xlpm.v))</f>
        <v>#N/A</v>
      </c>
      <c r="J49" s="6" t="e" cm="1">
        <f t="array" ref="J49">_xlfn.LET(_xlpm.v,INDEX(J$3:J$39,MATCH($A49,$A$3:$A$39,0)),IF(ISBLANK(_xlpm.v),NA(),_xlpm.v))</f>
        <v>#N/A</v>
      </c>
      <c r="K49" s="6" t="e" cm="1">
        <f t="array" ref="K49">_xlfn.LET(_xlpm.v,INDEX(K$3:K$39,MATCH($A49,$A$3:$A$39,0)),IF(ISBLANK(_xlpm.v),NA(),_xlpm.v))</f>
        <v>#N/A</v>
      </c>
      <c r="L49" s="6" t="e" cm="1">
        <f t="array" ref="L49">_xlfn.LET(_xlpm.v,INDEX(L$3:L$39,MATCH($A49,$A$3:$A$39,0)),IF(ISBLANK(_xlpm.v),NA(),_xlpm.v))</f>
        <v>#N/A</v>
      </c>
      <c r="M49" s="6" t="e" cm="1">
        <f t="array" ref="M49">_xlfn.LET(_xlpm.v,INDEX(M$3:M$39,MATCH($A49,$A$3:$A$39,0)),IF(ISBLANK(_xlpm.v),NA(),_xlpm.v))</f>
        <v>#N/A</v>
      </c>
      <c r="N49" s="6" t="e" cm="1">
        <f t="array" ref="N49">_xlfn.LET(_xlpm.v,INDEX(N$3:N$39,MATCH($A49,$A$3:$A$39,0)),IF(ISBLANK(_xlpm.v),NA(),_xlpm.v))</f>
        <v>#N/A</v>
      </c>
    </row>
    <row r="50" spans="1:14" x14ac:dyDescent="0.4">
      <c r="A50" s="5">
        <v>-55</v>
      </c>
      <c r="B50" s="6" t="e" cm="1">
        <f t="array" ref="B50">_xlfn.LET(_xlpm.v,INDEX(B$3:B$39,MATCH($A50,$A$3:$A$39,0)),IF(ISBLANK(_xlpm.v),NA(),_xlpm.v))</f>
        <v>#N/A</v>
      </c>
      <c r="C50" s="6" t="e" cm="1">
        <f t="array" ref="C50">_xlfn.LET(_xlpm.v,INDEX(C$3:C$39,MATCH($A50,$A$3:$A$39,0)),IF(ISBLANK(_xlpm.v),NA(),_xlpm.v))</f>
        <v>#N/A</v>
      </c>
      <c r="D50" s="6" t="e" cm="1">
        <f t="array" ref="D50">_xlfn.LET(_xlpm.v,INDEX(D$3:D$39,MATCH($A50,$A$3:$A$39,0)),IF(ISBLANK(_xlpm.v),NA(),_xlpm.v))</f>
        <v>#N/A</v>
      </c>
      <c r="E50" s="6" t="e" cm="1">
        <f t="array" ref="E50">_xlfn.LET(_xlpm.v,INDEX(E$3:E$39,MATCH($A50,$A$3:$A$39,0)),IF(ISBLANK(_xlpm.v),NA(),_xlpm.v))</f>
        <v>#N/A</v>
      </c>
      <c r="F50" s="6" t="e" cm="1">
        <f t="array" ref="F50">_xlfn.LET(_xlpm.v,INDEX(F$3:F$39,MATCH($A50,$A$3:$A$39,0)),IF(ISBLANK(_xlpm.v),NA(),_xlpm.v))</f>
        <v>#N/A</v>
      </c>
      <c r="G50" s="6" t="e" cm="1">
        <f t="array" ref="G50">_xlfn.LET(_xlpm.v,INDEX(G$3:G$39,MATCH($A50,$A$3:$A$39,0)),IF(ISBLANK(_xlpm.v),NA(),_xlpm.v))</f>
        <v>#N/A</v>
      </c>
      <c r="H50" s="6" t="e" cm="1">
        <f t="array" ref="H50">_xlfn.LET(_xlpm.v,INDEX(H$3:H$39,MATCH($A50,$A$3:$A$39,0)),IF(ISBLANK(_xlpm.v),NA(),_xlpm.v))</f>
        <v>#N/A</v>
      </c>
      <c r="I50" s="6" t="e" cm="1">
        <f t="array" ref="I50">_xlfn.LET(_xlpm.v,INDEX(I$3:I$39,MATCH($A50,$A$3:$A$39,0)),IF(ISBLANK(_xlpm.v),NA(),_xlpm.v))</f>
        <v>#N/A</v>
      </c>
      <c r="J50" s="6" t="e" cm="1">
        <f t="array" ref="J50">_xlfn.LET(_xlpm.v,INDEX(J$3:J$39,MATCH($A50,$A$3:$A$39,0)),IF(ISBLANK(_xlpm.v),NA(),_xlpm.v))</f>
        <v>#N/A</v>
      </c>
      <c r="K50" s="6" t="e" cm="1">
        <f t="array" ref="K50">_xlfn.LET(_xlpm.v,INDEX(K$3:K$39,MATCH($A50,$A$3:$A$39,0)),IF(ISBLANK(_xlpm.v),NA(),_xlpm.v))</f>
        <v>#N/A</v>
      </c>
      <c r="L50" s="6" t="e" cm="1">
        <f t="array" ref="L50">_xlfn.LET(_xlpm.v,INDEX(L$3:L$39,MATCH($A50,$A$3:$A$39,0)),IF(ISBLANK(_xlpm.v),NA(),_xlpm.v))</f>
        <v>#N/A</v>
      </c>
      <c r="M50" s="6" t="e" cm="1">
        <f t="array" ref="M50">_xlfn.LET(_xlpm.v,INDEX(M$3:M$39,MATCH($A50,$A$3:$A$39,0)),IF(ISBLANK(_xlpm.v),NA(),_xlpm.v))</f>
        <v>#N/A</v>
      </c>
      <c r="N50" s="6" t="e" cm="1">
        <f t="array" ref="N50">_xlfn.LET(_xlpm.v,INDEX(N$3:N$39,MATCH($A50,$A$3:$A$39,0)),IF(ISBLANK(_xlpm.v),NA(),_xlpm.v))</f>
        <v>#N/A</v>
      </c>
    </row>
    <row r="51" spans="1:14" x14ac:dyDescent="0.4">
      <c r="A51" s="5">
        <v>-50</v>
      </c>
      <c r="B51" s="6" t="e" cm="1">
        <f t="array" ref="B51">_xlfn.LET(_xlpm.v,INDEX(B$3:B$39,MATCH($A51,$A$3:$A$39,0)),IF(ISBLANK(_xlpm.v),NA(),_xlpm.v))</f>
        <v>#N/A</v>
      </c>
      <c r="C51" s="6" t="e" cm="1">
        <f t="array" ref="C51">_xlfn.LET(_xlpm.v,INDEX(C$3:C$39,MATCH($A51,$A$3:$A$39,0)),IF(ISBLANK(_xlpm.v),NA(),_xlpm.v))</f>
        <v>#N/A</v>
      </c>
      <c r="D51" s="6" t="e" cm="1">
        <f t="array" ref="D51">_xlfn.LET(_xlpm.v,INDEX(D$3:D$39,MATCH($A51,$A$3:$A$39,0)),IF(ISBLANK(_xlpm.v),NA(),_xlpm.v))</f>
        <v>#N/A</v>
      </c>
      <c r="E51" s="6" t="e" cm="1">
        <f t="array" ref="E51">_xlfn.LET(_xlpm.v,INDEX(E$3:E$39,MATCH($A51,$A$3:$A$39,0)),IF(ISBLANK(_xlpm.v),NA(),_xlpm.v))</f>
        <v>#N/A</v>
      </c>
      <c r="F51" s="6" t="e" cm="1">
        <f t="array" ref="F51">_xlfn.LET(_xlpm.v,INDEX(F$3:F$39,MATCH($A51,$A$3:$A$39,0)),IF(ISBLANK(_xlpm.v),NA(),_xlpm.v))</f>
        <v>#N/A</v>
      </c>
      <c r="G51" s="6" t="e" cm="1">
        <f t="array" ref="G51">_xlfn.LET(_xlpm.v,INDEX(G$3:G$39,MATCH($A51,$A$3:$A$39,0)),IF(ISBLANK(_xlpm.v),NA(),_xlpm.v))</f>
        <v>#N/A</v>
      </c>
      <c r="H51" s="6" t="e" cm="1">
        <f t="array" ref="H51">_xlfn.LET(_xlpm.v,INDEX(H$3:H$39,MATCH($A51,$A$3:$A$39,0)),IF(ISBLANK(_xlpm.v),NA(),_xlpm.v))</f>
        <v>#N/A</v>
      </c>
      <c r="I51" s="6" t="e" cm="1">
        <f t="array" ref="I51">_xlfn.LET(_xlpm.v,INDEX(I$3:I$39,MATCH($A51,$A$3:$A$39,0)),IF(ISBLANK(_xlpm.v),NA(),_xlpm.v))</f>
        <v>#N/A</v>
      </c>
      <c r="J51" s="6" t="e" cm="1">
        <f t="array" ref="J51">_xlfn.LET(_xlpm.v,INDEX(J$3:J$39,MATCH($A51,$A$3:$A$39,0)),IF(ISBLANK(_xlpm.v),NA(),_xlpm.v))</f>
        <v>#N/A</v>
      </c>
      <c r="K51" s="6" t="e" cm="1">
        <f t="array" ref="K51">_xlfn.LET(_xlpm.v,INDEX(K$3:K$39,MATCH($A51,$A$3:$A$39,0)),IF(ISBLANK(_xlpm.v),NA(),_xlpm.v))</f>
        <v>#N/A</v>
      </c>
      <c r="L51" s="6" t="e" cm="1">
        <f t="array" ref="L51">_xlfn.LET(_xlpm.v,INDEX(L$3:L$39,MATCH($A51,$A$3:$A$39,0)),IF(ISBLANK(_xlpm.v),NA(),_xlpm.v))</f>
        <v>#N/A</v>
      </c>
      <c r="M51" s="6" t="e" cm="1">
        <f t="array" ref="M51">_xlfn.LET(_xlpm.v,INDEX(M$3:M$39,MATCH($A51,$A$3:$A$39,0)),IF(ISBLANK(_xlpm.v),NA(),_xlpm.v))</f>
        <v>#N/A</v>
      </c>
      <c r="N51" s="6" t="e" cm="1">
        <f t="array" ref="N51">_xlfn.LET(_xlpm.v,INDEX(N$3:N$39,MATCH($A51,$A$3:$A$39,0)),IF(ISBLANK(_xlpm.v),NA(),_xlpm.v))</f>
        <v>#N/A</v>
      </c>
    </row>
    <row r="52" spans="1:14" x14ac:dyDescent="0.4">
      <c r="A52" s="5">
        <v>-45</v>
      </c>
      <c r="B52" s="6" t="e" cm="1">
        <f t="array" ref="B52">_xlfn.LET(_xlpm.v,INDEX(B$3:B$39,MATCH($A52,$A$3:$A$39,0)),IF(ISBLANK(_xlpm.v),NA(),_xlpm.v))</f>
        <v>#N/A</v>
      </c>
      <c r="C52" s="6" t="e" cm="1">
        <f t="array" ref="C52">_xlfn.LET(_xlpm.v,INDEX(C$3:C$39,MATCH($A52,$A$3:$A$39,0)),IF(ISBLANK(_xlpm.v),NA(),_xlpm.v))</f>
        <v>#N/A</v>
      </c>
      <c r="D52" s="6" t="e" cm="1">
        <f t="array" ref="D52">_xlfn.LET(_xlpm.v,INDEX(D$3:D$39,MATCH($A52,$A$3:$A$39,0)),IF(ISBLANK(_xlpm.v),NA(),_xlpm.v))</f>
        <v>#N/A</v>
      </c>
      <c r="E52" s="6" t="e" cm="1">
        <f t="array" ref="E52">_xlfn.LET(_xlpm.v,INDEX(E$3:E$39,MATCH($A52,$A$3:$A$39,0)),IF(ISBLANK(_xlpm.v),NA(),_xlpm.v))</f>
        <v>#N/A</v>
      </c>
      <c r="F52" s="6" t="e" cm="1">
        <f t="array" ref="F52">_xlfn.LET(_xlpm.v,INDEX(F$3:F$39,MATCH($A52,$A$3:$A$39,0)),IF(ISBLANK(_xlpm.v),NA(),_xlpm.v))</f>
        <v>#N/A</v>
      </c>
      <c r="G52" s="6" t="e" cm="1">
        <f t="array" ref="G52">_xlfn.LET(_xlpm.v,INDEX(G$3:G$39,MATCH($A52,$A$3:$A$39,0)),IF(ISBLANK(_xlpm.v),NA(),_xlpm.v))</f>
        <v>#N/A</v>
      </c>
      <c r="H52" s="6" t="e" cm="1">
        <f t="array" ref="H52">_xlfn.LET(_xlpm.v,INDEX(H$3:H$39,MATCH($A52,$A$3:$A$39,0)),IF(ISBLANK(_xlpm.v),NA(),_xlpm.v))</f>
        <v>#N/A</v>
      </c>
      <c r="I52" s="6" t="e" cm="1">
        <f t="array" ref="I52">_xlfn.LET(_xlpm.v,INDEX(I$3:I$39,MATCH($A52,$A$3:$A$39,0)),IF(ISBLANK(_xlpm.v),NA(),_xlpm.v))</f>
        <v>#N/A</v>
      </c>
      <c r="J52" s="6" t="e" cm="1">
        <f t="array" ref="J52">_xlfn.LET(_xlpm.v,INDEX(J$3:J$39,MATCH($A52,$A$3:$A$39,0)),IF(ISBLANK(_xlpm.v),NA(),_xlpm.v))</f>
        <v>#N/A</v>
      </c>
      <c r="K52" s="6" t="e" cm="1">
        <f t="array" ref="K52">_xlfn.LET(_xlpm.v,INDEX(K$3:K$39,MATCH($A52,$A$3:$A$39,0)),IF(ISBLANK(_xlpm.v),NA(),_xlpm.v))</f>
        <v>#N/A</v>
      </c>
      <c r="L52" s="6" t="e" cm="1">
        <f t="array" ref="L52">_xlfn.LET(_xlpm.v,INDEX(L$3:L$39,MATCH($A52,$A$3:$A$39,0)),IF(ISBLANK(_xlpm.v),NA(),_xlpm.v))</f>
        <v>#N/A</v>
      </c>
      <c r="M52" s="6" t="e" cm="1">
        <f t="array" ref="M52">_xlfn.LET(_xlpm.v,INDEX(M$3:M$39,MATCH($A52,$A$3:$A$39,0)),IF(ISBLANK(_xlpm.v),NA(),_xlpm.v))</f>
        <v>#N/A</v>
      </c>
      <c r="N52" s="6" t="e" cm="1">
        <f t="array" ref="N52">_xlfn.LET(_xlpm.v,INDEX(N$3:N$39,MATCH($A52,$A$3:$A$39,0)),IF(ISBLANK(_xlpm.v),NA(),_xlpm.v))</f>
        <v>#N/A</v>
      </c>
    </row>
    <row r="53" spans="1:14" x14ac:dyDescent="0.4">
      <c r="A53" s="5">
        <v>-40</v>
      </c>
      <c r="B53" s="6" t="e" cm="1">
        <f t="array" ref="B53">_xlfn.LET(_xlpm.v,INDEX(B$3:B$39,MATCH($A53,$A$3:$A$39,0)),IF(ISBLANK(_xlpm.v),NA(),_xlpm.v))</f>
        <v>#N/A</v>
      </c>
      <c r="C53" s="6" t="e" cm="1">
        <f t="array" ref="C53">_xlfn.LET(_xlpm.v,INDEX(C$3:C$39,MATCH($A53,$A$3:$A$39,0)),IF(ISBLANK(_xlpm.v),NA(),_xlpm.v))</f>
        <v>#N/A</v>
      </c>
      <c r="D53" s="6" t="e" cm="1">
        <f t="array" ref="D53">_xlfn.LET(_xlpm.v,INDEX(D$3:D$39,MATCH($A53,$A$3:$A$39,0)),IF(ISBLANK(_xlpm.v),NA(),_xlpm.v))</f>
        <v>#N/A</v>
      </c>
      <c r="E53" s="6" t="e" cm="1">
        <f t="array" ref="E53">_xlfn.LET(_xlpm.v,INDEX(E$3:E$39,MATCH($A53,$A$3:$A$39,0)),IF(ISBLANK(_xlpm.v),NA(),_xlpm.v))</f>
        <v>#N/A</v>
      </c>
      <c r="F53" s="6" t="e" cm="1">
        <f t="array" ref="F53">_xlfn.LET(_xlpm.v,INDEX(F$3:F$39,MATCH($A53,$A$3:$A$39,0)),IF(ISBLANK(_xlpm.v),NA(),_xlpm.v))</f>
        <v>#N/A</v>
      </c>
      <c r="G53" s="6" t="e" cm="1">
        <f t="array" ref="G53">_xlfn.LET(_xlpm.v,INDEX(G$3:G$39,MATCH($A53,$A$3:$A$39,0)),IF(ISBLANK(_xlpm.v),NA(),_xlpm.v))</f>
        <v>#N/A</v>
      </c>
      <c r="H53" s="6" t="e" cm="1">
        <f t="array" ref="H53">_xlfn.LET(_xlpm.v,INDEX(H$3:H$39,MATCH($A53,$A$3:$A$39,0)),IF(ISBLANK(_xlpm.v),NA(),_xlpm.v))</f>
        <v>#N/A</v>
      </c>
      <c r="I53" s="6" t="e" cm="1">
        <f t="array" ref="I53">_xlfn.LET(_xlpm.v,INDEX(I$3:I$39,MATCH($A53,$A$3:$A$39,0)),IF(ISBLANK(_xlpm.v),NA(),_xlpm.v))</f>
        <v>#N/A</v>
      </c>
      <c r="J53" s="6" t="e" cm="1">
        <f t="array" ref="J53">_xlfn.LET(_xlpm.v,INDEX(J$3:J$39,MATCH($A53,$A$3:$A$39,0)),IF(ISBLANK(_xlpm.v),NA(),_xlpm.v))</f>
        <v>#N/A</v>
      </c>
      <c r="K53" s="6" t="e" cm="1">
        <f t="array" ref="K53">_xlfn.LET(_xlpm.v,INDEX(K$3:K$39,MATCH($A53,$A$3:$A$39,0)),IF(ISBLANK(_xlpm.v),NA(),_xlpm.v))</f>
        <v>#N/A</v>
      </c>
      <c r="L53" s="6" t="e" cm="1">
        <f t="array" ref="L53">_xlfn.LET(_xlpm.v,INDEX(L$3:L$39,MATCH($A53,$A$3:$A$39,0)),IF(ISBLANK(_xlpm.v),NA(),_xlpm.v))</f>
        <v>#N/A</v>
      </c>
      <c r="M53" s="6" t="e" cm="1">
        <f t="array" ref="M53">_xlfn.LET(_xlpm.v,INDEX(M$3:M$39,MATCH($A53,$A$3:$A$39,0)),IF(ISBLANK(_xlpm.v),NA(),_xlpm.v))</f>
        <v>#N/A</v>
      </c>
      <c r="N53" s="6" t="e" cm="1">
        <f t="array" ref="N53">_xlfn.LET(_xlpm.v,INDEX(N$3:N$39,MATCH($A53,$A$3:$A$39,0)),IF(ISBLANK(_xlpm.v),NA(),_xlpm.v))</f>
        <v>#N/A</v>
      </c>
    </row>
    <row r="54" spans="1:14" x14ac:dyDescent="0.4">
      <c r="A54" s="5">
        <v>-35</v>
      </c>
      <c r="B54" s="6" t="e" cm="1">
        <f t="array" ref="B54">_xlfn.LET(_xlpm.v,INDEX(B$3:B$39,MATCH($A54,$A$3:$A$39,0)),IF(ISBLANK(_xlpm.v),NA(),_xlpm.v))</f>
        <v>#N/A</v>
      </c>
      <c r="C54" s="6" t="e" cm="1">
        <f t="array" ref="C54">_xlfn.LET(_xlpm.v,INDEX(C$3:C$39,MATCH($A54,$A$3:$A$39,0)),IF(ISBLANK(_xlpm.v),NA(),_xlpm.v))</f>
        <v>#N/A</v>
      </c>
      <c r="D54" s="6" t="e" cm="1">
        <f t="array" ref="D54">_xlfn.LET(_xlpm.v,INDEX(D$3:D$39,MATCH($A54,$A$3:$A$39,0)),IF(ISBLANK(_xlpm.v),NA(),_xlpm.v))</f>
        <v>#N/A</v>
      </c>
      <c r="E54" s="6" t="e" cm="1">
        <f t="array" ref="E54">_xlfn.LET(_xlpm.v,INDEX(E$3:E$39,MATCH($A54,$A$3:$A$39,0)),IF(ISBLANK(_xlpm.v),NA(),_xlpm.v))</f>
        <v>#N/A</v>
      </c>
      <c r="F54" s="6" t="e" cm="1">
        <f t="array" ref="F54">_xlfn.LET(_xlpm.v,INDEX(F$3:F$39,MATCH($A54,$A$3:$A$39,0)),IF(ISBLANK(_xlpm.v),NA(),_xlpm.v))</f>
        <v>#N/A</v>
      </c>
      <c r="G54" s="6" t="e" cm="1">
        <f t="array" ref="G54">_xlfn.LET(_xlpm.v,INDEX(G$3:G$39,MATCH($A54,$A$3:$A$39,0)),IF(ISBLANK(_xlpm.v),NA(),_xlpm.v))</f>
        <v>#N/A</v>
      </c>
      <c r="H54" s="6" t="e" cm="1">
        <f t="array" ref="H54">_xlfn.LET(_xlpm.v,INDEX(H$3:H$39,MATCH($A54,$A$3:$A$39,0)),IF(ISBLANK(_xlpm.v),NA(),_xlpm.v))</f>
        <v>#N/A</v>
      </c>
      <c r="I54" s="6" t="e" cm="1">
        <f t="array" ref="I54">_xlfn.LET(_xlpm.v,INDEX(I$3:I$39,MATCH($A54,$A$3:$A$39,0)),IF(ISBLANK(_xlpm.v),NA(),_xlpm.v))</f>
        <v>#N/A</v>
      </c>
      <c r="J54" s="6" t="e" cm="1">
        <f t="array" ref="J54">_xlfn.LET(_xlpm.v,INDEX(J$3:J$39,MATCH($A54,$A$3:$A$39,0)),IF(ISBLANK(_xlpm.v),NA(),_xlpm.v))</f>
        <v>#N/A</v>
      </c>
      <c r="K54" s="6" t="e" cm="1">
        <f t="array" ref="K54">_xlfn.LET(_xlpm.v,INDEX(K$3:K$39,MATCH($A54,$A$3:$A$39,0)),IF(ISBLANK(_xlpm.v),NA(),_xlpm.v))</f>
        <v>#N/A</v>
      </c>
      <c r="L54" s="6" t="e" cm="1">
        <f t="array" ref="L54">_xlfn.LET(_xlpm.v,INDEX(L$3:L$39,MATCH($A54,$A$3:$A$39,0)),IF(ISBLANK(_xlpm.v),NA(),_xlpm.v))</f>
        <v>#N/A</v>
      </c>
      <c r="M54" s="6" t="e" cm="1">
        <f t="array" ref="M54">_xlfn.LET(_xlpm.v,INDEX(M$3:M$39,MATCH($A54,$A$3:$A$39,0)),IF(ISBLANK(_xlpm.v),NA(),_xlpm.v))</f>
        <v>#N/A</v>
      </c>
      <c r="N54" s="6" t="e" cm="1">
        <f t="array" ref="N54">_xlfn.LET(_xlpm.v,INDEX(N$3:N$39,MATCH($A54,$A$3:$A$39,0)),IF(ISBLANK(_xlpm.v),NA(),_xlpm.v))</f>
        <v>#N/A</v>
      </c>
    </row>
    <row r="55" spans="1:14" x14ac:dyDescent="0.4">
      <c r="A55" s="5">
        <v>-30</v>
      </c>
      <c r="B55" s="6" t="e" cm="1">
        <f t="array" ref="B55">_xlfn.LET(_xlpm.v,INDEX(B$3:B$39,MATCH($A55,$A$3:$A$39,0)),IF(ISBLANK(_xlpm.v),NA(),_xlpm.v))</f>
        <v>#N/A</v>
      </c>
      <c r="C55" s="6" t="e" cm="1">
        <f t="array" ref="C55">_xlfn.LET(_xlpm.v,INDEX(C$3:C$39,MATCH($A55,$A$3:$A$39,0)),IF(ISBLANK(_xlpm.v),NA(),_xlpm.v))</f>
        <v>#N/A</v>
      </c>
      <c r="D55" s="6" t="e" cm="1">
        <f t="array" ref="D55">_xlfn.LET(_xlpm.v,INDEX(D$3:D$39,MATCH($A55,$A$3:$A$39,0)),IF(ISBLANK(_xlpm.v),NA(),_xlpm.v))</f>
        <v>#N/A</v>
      </c>
      <c r="E55" s="6" t="e" cm="1">
        <f t="array" ref="E55">_xlfn.LET(_xlpm.v,INDEX(E$3:E$39,MATCH($A55,$A$3:$A$39,0)),IF(ISBLANK(_xlpm.v),NA(),_xlpm.v))</f>
        <v>#N/A</v>
      </c>
      <c r="F55" s="6" t="e" cm="1">
        <f t="array" ref="F55">_xlfn.LET(_xlpm.v,INDEX(F$3:F$39,MATCH($A55,$A$3:$A$39,0)),IF(ISBLANK(_xlpm.v),NA(),_xlpm.v))</f>
        <v>#N/A</v>
      </c>
      <c r="G55" s="6" t="e" cm="1">
        <f t="array" ref="G55">_xlfn.LET(_xlpm.v,INDEX(G$3:G$39,MATCH($A55,$A$3:$A$39,0)),IF(ISBLANK(_xlpm.v),NA(),_xlpm.v))</f>
        <v>#N/A</v>
      </c>
      <c r="H55" s="6" t="e" cm="1">
        <f t="array" ref="H55">_xlfn.LET(_xlpm.v,INDEX(H$3:H$39,MATCH($A55,$A$3:$A$39,0)),IF(ISBLANK(_xlpm.v),NA(),_xlpm.v))</f>
        <v>#N/A</v>
      </c>
      <c r="I55" s="6" t="e" cm="1">
        <f t="array" ref="I55">_xlfn.LET(_xlpm.v,INDEX(I$3:I$39,MATCH($A55,$A$3:$A$39,0)),IF(ISBLANK(_xlpm.v),NA(),_xlpm.v))</f>
        <v>#N/A</v>
      </c>
      <c r="J55" s="6" t="e" cm="1">
        <f t="array" ref="J55">_xlfn.LET(_xlpm.v,INDEX(J$3:J$39,MATCH($A55,$A$3:$A$39,0)),IF(ISBLANK(_xlpm.v),NA(),_xlpm.v))</f>
        <v>#N/A</v>
      </c>
      <c r="K55" s="6" t="e" cm="1">
        <f t="array" ref="K55">_xlfn.LET(_xlpm.v,INDEX(K$3:K$39,MATCH($A55,$A$3:$A$39,0)),IF(ISBLANK(_xlpm.v),NA(),_xlpm.v))</f>
        <v>#N/A</v>
      </c>
      <c r="L55" s="6" t="e" cm="1">
        <f t="array" ref="L55">_xlfn.LET(_xlpm.v,INDEX(L$3:L$39,MATCH($A55,$A$3:$A$39,0)),IF(ISBLANK(_xlpm.v),NA(),_xlpm.v))</f>
        <v>#N/A</v>
      </c>
      <c r="M55" s="6" t="e" cm="1">
        <f t="array" ref="M55">_xlfn.LET(_xlpm.v,INDEX(M$3:M$39,MATCH($A55,$A$3:$A$39,0)),IF(ISBLANK(_xlpm.v),NA(),_xlpm.v))</f>
        <v>#N/A</v>
      </c>
      <c r="N55" s="6" t="e" cm="1">
        <f t="array" ref="N55">_xlfn.LET(_xlpm.v,INDEX(N$3:N$39,MATCH($A55,$A$3:$A$39,0)),IF(ISBLANK(_xlpm.v),NA(),_xlpm.v))</f>
        <v>#N/A</v>
      </c>
    </row>
    <row r="56" spans="1:14" x14ac:dyDescent="0.4">
      <c r="A56" s="5">
        <v>-25</v>
      </c>
      <c r="B56" s="6" t="e" cm="1">
        <f t="array" ref="B56">_xlfn.LET(_xlpm.v,INDEX(B$3:B$39,MATCH($A56,$A$3:$A$39,0)),IF(ISBLANK(_xlpm.v),NA(),_xlpm.v))</f>
        <v>#N/A</v>
      </c>
      <c r="C56" s="6" t="e" cm="1">
        <f t="array" ref="C56">_xlfn.LET(_xlpm.v,INDEX(C$3:C$39,MATCH($A56,$A$3:$A$39,0)),IF(ISBLANK(_xlpm.v),NA(),_xlpm.v))</f>
        <v>#N/A</v>
      </c>
      <c r="D56" s="6" t="e" cm="1">
        <f t="array" ref="D56">_xlfn.LET(_xlpm.v,INDEX(D$3:D$39,MATCH($A56,$A$3:$A$39,0)),IF(ISBLANK(_xlpm.v),NA(),_xlpm.v))</f>
        <v>#N/A</v>
      </c>
      <c r="E56" s="6" t="e" cm="1">
        <f t="array" ref="E56">_xlfn.LET(_xlpm.v,INDEX(E$3:E$39,MATCH($A56,$A$3:$A$39,0)),IF(ISBLANK(_xlpm.v),NA(),_xlpm.v))</f>
        <v>#N/A</v>
      </c>
      <c r="F56" s="6" t="e" cm="1">
        <f t="array" ref="F56">_xlfn.LET(_xlpm.v,INDEX(F$3:F$39,MATCH($A56,$A$3:$A$39,0)),IF(ISBLANK(_xlpm.v),NA(),_xlpm.v))</f>
        <v>#N/A</v>
      </c>
      <c r="G56" s="6" t="e" cm="1">
        <f t="array" ref="G56">_xlfn.LET(_xlpm.v,INDEX(G$3:G$39,MATCH($A56,$A$3:$A$39,0)),IF(ISBLANK(_xlpm.v),NA(),_xlpm.v))</f>
        <v>#N/A</v>
      </c>
      <c r="H56" s="6" t="e" cm="1">
        <f t="array" ref="H56">_xlfn.LET(_xlpm.v,INDEX(H$3:H$39,MATCH($A56,$A$3:$A$39,0)),IF(ISBLANK(_xlpm.v),NA(),_xlpm.v))</f>
        <v>#N/A</v>
      </c>
      <c r="I56" s="6" t="e" cm="1">
        <f t="array" ref="I56">_xlfn.LET(_xlpm.v,INDEX(I$3:I$39,MATCH($A56,$A$3:$A$39,0)),IF(ISBLANK(_xlpm.v),NA(),_xlpm.v))</f>
        <v>#N/A</v>
      </c>
      <c r="J56" s="6" t="e" cm="1">
        <f t="array" ref="J56">_xlfn.LET(_xlpm.v,INDEX(J$3:J$39,MATCH($A56,$A$3:$A$39,0)),IF(ISBLANK(_xlpm.v),NA(),_xlpm.v))</f>
        <v>#N/A</v>
      </c>
      <c r="K56" s="6" t="e" cm="1">
        <f t="array" ref="K56">_xlfn.LET(_xlpm.v,INDEX(K$3:K$39,MATCH($A56,$A$3:$A$39,0)),IF(ISBLANK(_xlpm.v),NA(),_xlpm.v))</f>
        <v>#N/A</v>
      </c>
      <c r="L56" s="6" t="e" cm="1">
        <f t="array" ref="L56">_xlfn.LET(_xlpm.v,INDEX(L$3:L$39,MATCH($A56,$A$3:$A$39,0)),IF(ISBLANK(_xlpm.v),NA(),_xlpm.v))</f>
        <v>#N/A</v>
      </c>
      <c r="M56" s="6" t="e" cm="1">
        <f t="array" ref="M56">_xlfn.LET(_xlpm.v,INDEX(M$3:M$39,MATCH($A56,$A$3:$A$39,0)),IF(ISBLANK(_xlpm.v),NA(),_xlpm.v))</f>
        <v>#N/A</v>
      </c>
      <c r="N56" s="6" t="e" cm="1">
        <f t="array" ref="N56">_xlfn.LET(_xlpm.v,INDEX(N$3:N$39,MATCH($A56,$A$3:$A$39,0)),IF(ISBLANK(_xlpm.v),NA(),_xlpm.v))</f>
        <v>#N/A</v>
      </c>
    </row>
    <row r="57" spans="1:14" x14ac:dyDescent="0.4">
      <c r="A57" s="5">
        <v>-20</v>
      </c>
      <c r="B57" s="6" t="e" cm="1">
        <f t="array" ref="B57">_xlfn.LET(_xlpm.v,INDEX(B$3:B$39,MATCH($A57,$A$3:$A$39,0)),IF(ISBLANK(_xlpm.v),NA(),_xlpm.v))</f>
        <v>#N/A</v>
      </c>
      <c r="C57" s="6" t="e" cm="1">
        <f t="array" ref="C57">_xlfn.LET(_xlpm.v,INDEX(C$3:C$39,MATCH($A57,$A$3:$A$39,0)),IF(ISBLANK(_xlpm.v),NA(),_xlpm.v))</f>
        <v>#N/A</v>
      </c>
      <c r="D57" s="6" t="e" cm="1">
        <f t="array" ref="D57">_xlfn.LET(_xlpm.v,INDEX(D$3:D$39,MATCH($A57,$A$3:$A$39,0)),IF(ISBLANK(_xlpm.v),NA(),_xlpm.v))</f>
        <v>#N/A</v>
      </c>
      <c r="E57" s="6" t="e" cm="1">
        <f t="array" ref="E57">_xlfn.LET(_xlpm.v,INDEX(E$3:E$39,MATCH($A57,$A$3:$A$39,0)),IF(ISBLANK(_xlpm.v),NA(),_xlpm.v))</f>
        <v>#N/A</v>
      </c>
      <c r="F57" s="6" t="e" cm="1">
        <f t="array" ref="F57">_xlfn.LET(_xlpm.v,INDEX(F$3:F$39,MATCH($A57,$A$3:$A$39,0)),IF(ISBLANK(_xlpm.v),NA(),_xlpm.v))</f>
        <v>#N/A</v>
      </c>
      <c r="G57" s="6" t="e" cm="1">
        <f t="array" ref="G57">_xlfn.LET(_xlpm.v,INDEX(G$3:G$39,MATCH($A57,$A$3:$A$39,0)),IF(ISBLANK(_xlpm.v),NA(),_xlpm.v))</f>
        <v>#N/A</v>
      </c>
      <c r="H57" s="6" t="e" cm="1">
        <f t="array" ref="H57">_xlfn.LET(_xlpm.v,INDEX(H$3:H$39,MATCH($A57,$A$3:$A$39,0)),IF(ISBLANK(_xlpm.v),NA(),_xlpm.v))</f>
        <v>#N/A</v>
      </c>
      <c r="I57" s="6" t="e" cm="1">
        <f t="array" ref="I57">_xlfn.LET(_xlpm.v,INDEX(I$3:I$39,MATCH($A57,$A$3:$A$39,0)),IF(ISBLANK(_xlpm.v),NA(),_xlpm.v))</f>
        <v>#N/A</v>
      </c>
      <c r="J57" s="6" t="e" cm="1">
        <f t="array" ref="J57">_xlfn.LET(_xlpm.v,INDEX(J$3:J$39,MATCH($A57,$A$3:$A$39,0)),IF(ISBLANK(_xlpm.v),NA(),_xlpm.v))</f>
        <v>#N/A</v>
      </c>
      <c r="K57" s="6" t="e" cm="1">
        <f t="array" ref="K57">_xlfn.LET(_xlpm.v,INDEX(K$3:K$39,MATCH($A57,$A$3:$A$39,0)),IF(ISBLANK(_xlpm.v),NA(),_xlpm.v))</f>
        <v>#N/A</v>
      </c>
      <c r="L57" s="6" t="e" cm="1">
        <f t="array" ref="L57">_xlfn.LET(_xlpm.v,INDEX(L$3:L$39,MATCH($A57,$A$3:$A$39,0)),IF(ISBLANK(_xlpm.v),NA(),_xlpm.v))</f>
        <v>#N/A</v>
      </c>
      <c r="M57" s="6" t="e" cm="1">
        <f t="array" ref="M57">_xlfn.LET(_xlpm.v,INDEX(M$3:M$39,MATCH($A57,$A$3:$A$39,0)),IF(ISBLANK(_xlpm.v),NA(),_xlpm.v))</f>
        <v>#N/A</v>
      </c>
      <c r="N57" s="6" t="e" cm="1">
        <f t="array" ref="N57">_xlfn.LET(_xlpm.v,INDEX(N$3:N$39,MATCH($A57,$A$3:$A$39,0)),IF(ISBLANK(_xlpm.v),NA(),_xlpm.v))</f>
        <v>#N/A</v>
      </c>
    </row>
    <row r="58" spans="1:14" x14ac:dyDescent="0.4">
      <c r="A58" s="5">
        <v>-15</v>
      </c>
      <c r="B58" s="6" t="e" cm="1">
        <f t="array" ref="B58">_xlfn.LET(_xlpm.v,INDEX(B$3:B$39,MATCH($A58,$A$3:$A$39,0)),IF(ISBLANK(_xlpm.v),NA(),_xlpm.v))</f>
        <v>#N/A</v>
      </c>
      <c r="C58" s="6" t="e" cm="1">
        <f t="array" ref="C58">_xlfn.LET(_xlpm.v,INDEX(C$3:C$39,MATCH($A58,$A$3:$A$39,0)),IF(ISBLANK(_xlpm.v),NA(),_xlpm.v))</f>
        <v>#N/A</v>
      </c>
      <c r="D58" s="6" t="e" cm="1">
        <f t="array" ref="D58">_xlfn.LET(_xlpm.v,INDEX(D$3:D$39,MATCH($A58,$A$3:$A$39,0)),IF(ISBLANK(_xlpm.v),NA(),_xlpm.v))</f>
        <v>#N/A</v>
      </c>
      <c r="E58" s="6" t="e" cm="1">
        <f t="array" ref="E58">_xlfn.LET(_xlpm.v,INDEX(E$3:E$39,MATCH($A58,$A$3:$A$39,0)),IF(ISBLANK(_xlpm.v),NA(),_xlpm.v))</f>
        <v>#N/A</v>
      </c>
      <c r="F58" s="6" t="e" cm="1">
        <f t="array" ref="F58">_xlfn.LET(_xlpm.v,INDEX(F$3:F$39,MATCH($A58,$A$3:$A$39,0)),IF(ISBLANK(_xlpm.v),NA(),_xlpm.v))</f>
        <v>#N/A</v>
      </c>
      <c r="G58" s="6" t="e" cm="1">
        <f t="array" ref="G58">_xlfn.LET(_xlpm.v,INDEX(G$3:G$39,MATCH($A58,$A$3:$A$39,0)),IF(ISBLANK(_xlpm.v),NA(),_xlpm.v))</f>
        <v>#N/A</v>
      </c>
      <c r="H58" s="6" t="e" cm="1">
        <f t="array" ref="H58">_xlfn.LET(_xlpm.v,INDEX(H$3:H$39,MATCH($A58,$A$3:$A$39,0)),IF(ISBLANK(_xlpm.v),NA(),_xlpm.v))</f>
        <v>#N/A</v>
      </c>
      <c r="I58" s="6" t="e" cm="1">
        <f t="array" ref="I58">_xlfn.LET(_xlpm.v,INDEX(I$3:I$39,MATCH($A58,$A$3:$A$39,0)),IF(ISBLANK(_xlpm.v),NA(),_xlpm.v))</f>
        <v>#N/A</v>
      </c>
      <c r="J58" s="6" t="e" cm="1">
        <f t="array" ref="J58">_xlfn.LET(_xlpm.v,INDEX(J$3:J$39,MATCH($A58,$A$3:$A$39,0)),IF(ISBLANK(_xlpm.v),NA(),_xlpm.v))</f>
        <v>#N/A</v>
      </c>
      <c r="K58" s="6" t="e" cm="1">
        <f t="array" ref="K58">_xlfn.LET(_xlpm.v,INDEX(K$3:K$39,MATCH($A58,$A$3:$A$39,0)),IF(ISBLANK(_xlpm.v),NA(),_xlpm.v))</f>
        <v>#N/A</v>
      </c>
      <c r="L58" s="6" t="e" cm="1">
        <f t="array" ref="L58">_xlfn.LET(_xlpm.v,INDEX(L$3:L$39,MATCH($A58,$A$3:$A$39,0)),IF(ISBLANK(_xlpm.v),NA(),_xlpm.v))</f>
        <v>#N/A</v>
      </c>
      <c r="M58" s="6" t="e" cm="1">
        <f t="array" ref="M58">_xlfn.LET(_xlpm.v,INDEX(M$3:M$39,MATCH($A58,$A$3:$A$39,0)),IF(ISBLANK(_xlpm.v),NA(),_xlpm.v))</f>
        <v>#N/A</v>
      </c>
      <c r="N58" s="6" t="e" cm="1">
        <f t="array" ref="N58">_xlfn.LET(_xlpm.v,INDEX(N$3:N$39,MATCH($A58,$A$3:$A$39,0)),IF(ISBLANK(_xlpm.v),NA(),_xlpm.v))</f>
        <v>#N/A</v>
      </c>
    </row>
    <row r="59" spans="1:14" x14ac:dyDescent="0.4">
      <c r="A59" s="5">
        <v>-10</v>
      </c>
      <c r="B59" s="6" t="e" cm="1">
        <f t="array" ref="B59">_xlfn.LET(_xlpm.v,INDEX(B$3:B$39,MATCH($A59,$A$3:$A$39,0)),IF(ISBLANK(_xlpm.v),NA(),_xlpm.v))</f>
        <v>#N/A</v>
      </c>
      <c r="C59" s="6" t="e" cm="1">
        <f t="array" ref="C59">_xlfn.LET(_xlpm.v,INDEX(C$3:C$39,MATCH($A59,$A$3:$A$39,0)),IF(ISBLANK(_xlpm.v),NA(),_xlpm.v))</f>
        <v>#N/A</v>
      </c>
      <c r="D59" s="6" t="e" cm="1">
        <f t="array" ref="D59">_xlfn.LET(_xlpm.v,INDEX(D$3:D$39,MATCH($A59,$A$3:$A$39,0)),IF(ISBLANK(_xlpm.v),NA(),_xlpm.v))</f>
        <v>#N/A</v>
      </c>
      <c r="E59" s="6" t="e" cm="1">
        <f t="array" ref="E59">_xlfn.LET(_xlpm.v,INDEX(E$3:E$39,MATCH($A59,$A$3:$A$39,0)),IF(ISBLANK(_xlpm.v),NA(),_xlpm.v))</f>
        <v>#N/A</v>
      </c>
      <c r="F59" s="6" t="e" cm="1">
        <f t="array" ref="F59">_xlfn.LET(_xlpm.v,INDEX(F$3:F$39,MATCH($A59,$A$3:$A$39,0)),IF(ISBLANK(_xlpm.v),NA(),_xlpm.v))</f>
        <v>#N/A</v>
      </c>
      <c r="G59" s="6" t="e" cm="1">
        <f t="array" ref="G59">_xlfn.LET(_xlpm.v,INDEX(G$3:G$39,MATCH($A59,$A$3:$A$39,0)),IF(ISBLANK(_xlpm.v),NA(),_xlpm.v))</f>
        <v>#N/A</v>
      </c>
      <c r="H59" s="6" t="e" cm="1">
        <f t="array" ref="H59">_xlfn.LET(_xlpm.v,INDEX(H$3:H$39,MATCH($A59,$A$3:$A$39,0)),IF(ISBLANK(_xlpm.v),NA(),_xlpm.v))</f>
        <v>#N/A</v>
      </c>
      <c r="I59" s="6" t="e" cm="1">
        <f t="array" ref="I59">_xlfn.LET(_xlpm.v,INDEX(I$3:I$39,MATCH($A59,$A$3:$A$39,0)),IF(ISBLANK(_xlpm.v),NA(),_xlpm.v))</f>
        <v>#N/A</v>
      </c>
      <c r="J59" s="6" t="e" cm="1">
        <f t="array" ref="J59">_xlfn.LET(_xlpm.v,INDEX(J$3:J$39,MATCH($A59,$A$3:$A$39,0)),IF(ISBLANK(_xlpm.v),NA(),_xlpm.v))</f>
        <v>#N/A</v>
      </c>
      <c r="K59" s="6" t="e" cm="1">
        <f t="array" ref="K59">_xlfn.LET(_xlpm.v,INDEX(K$3:K$39,MATCH($A59,$A$3:$A$39,0)),IF(ISBLANK(_xlpm.v),NA(),_xlpm.v))</f>
        <v>#N/A</v>
      </c>
      <c r="L59" s="6" t="e" cm="1">
        <f t="array" ref="L59">_xlfn.LET(_xlpm.v,INDEX(L$3:L$39,MATCH($A59,$A$3:$A$39,0)),IF(ISBLANK(_xlpm.v),NA(),_xlpm.v))</f>
        <v>#N/A</v>
      </c>
      <c r="M59" s="6" t="e" cm="1">
        <f t="array" ref="M59">_xlfn.LET(_xlpm.v,INDEX(M$3:M$39,MATCH($A59,$A$3:$A$39,0)),IF(ISBLANK(_xlpm.v),NA(),_xlpm.v))</f>
        <v>#N/A</v>
      </c>
      <c r="N59" s="6" t="e" cm="1">
        <f t="array" ref="N59">_xlfn.LET(_xlpm.v,INDEX(N$3:N$39,MATCH($A59,$A$3:$A$39,0)),IF(ISBLANK(_xlpm.v),NA(),_xlpm.v))</f>
        <v>#N/A</v>
      </c>
    </row>
    <row r="60" spans="1:14" x14ac:dyDescent="0.4">
      <c r="A60" s="5">
        <v>-5</v>
      </c>
      <c r="B60" s="6" t="e" cm="1">
        <f t="array" ref="B60">_xlfn.LET(_xlpm.v,INDEX(B$3:B$39,MATCH($A60,$A$3:$A$39,0)),IF(ISBLANK(_xlpm.v),NA(),_xlpm.v))</f>
        <v>#N/A</v>
      </c>
      <c r="C60" s="6" t="e" cm="1">
        <f t="array" ref="C60">_xlfn.LET(_xlpm.v,INDEX(C$3:C$39,MATCH($A60,$A$3:$A$39,0)),IF(ISBLANK(_xlpm.v),NA(),_xlpm.v))</f>
        <v>#N/A</v>
      </c>
      <c r="D60" s="6" t="e" cm="1">
        <f t="array" ref="D60">_xlfn.LET(_xlpm.v,INDEX(D$3:D$39,MATCH($A60,$A$3:$A$39,0)),IF(ISBLANK(_xlpm.v),NA(),_xlpm.v))</f>
        <v>#N/A</v>
      </c>
      <c r="E60" s="6" t="e" cm="1">
        <f t="array" ref="E60">_xlfn.LET(_xlpm.v,INDEX(E$3:E$39,MATCH($A60,$A$3:$A$39,0)),IF(ISBLANK(_xlpm.v),NA(),_xlpm.v))</f>
        <v>#N/A</v>
      </c>
      <c r="F60" s="6" t="e" cm="1">
        <f t="array" ref="F60">_xlfn.LET(_xlpm.v,INDEX(F$3:F$39,MATCH($A60,$A$3:$A$39,0)),IF(ISBLANK(_xlpm.v),NA(),_xlpm.v))</f>
        <v>#N/A</v>
      </c>
      <c r="G60" s="6" t="e" cm="1">
        <f t="array" ref="G60">_xlfn.LET(_xlpm.v,INDEX(G$3:G$39,MATCH($A60,$A$3:$A$39,0)),IF(ISBLANK(_xlpm.v),NA(),_xlpm.v))</f>
        <v>#N/A</v>
      </c>
      <c r="H60" s="6" t="e" cm="1">
        <f t="array" ref="H60">_xlfn.LET(_xlpm.v,INDEX(H$3:H$39,MATCH($A60,$A$3:$A$39,0)),IF(ISBLANK(_xlpm.v),NA(),_xlpm.v))</f>
        <v>#N/A</v>
      </c>
      <c r="I60" s="6" t="e" cm="1">
        <f t="array" ref="I60">_xlfn.LET(_xlpm.v,INDEX(I$3:I$39,MATCH($A60,$A$3:$A$39,0)),IF(ISBLANK(_xlpm.v),NA(),_xlpm.v))</f>
        <v>#N/A</v>
      </c>
      <c r="J60" s="6" t="e" cm="1">
        <f t="array" ref="J60">_xlfn.LET(_xlpm.v,INDEX(J$3:J$39,MATCH($A60,$A$3:$A$39,0)),IF(ISBLANK(_xlpm.v),NA(),_xlpm.v))</f>
        <v>#N/A</v>
      </c>
      <c r="K60" s="6" t="e" cm="1">
        <f t="array" ref="K60">_xlfn.LET(_xlpm.v,INDEX(K$3:K$39,MATCH($A60,$A$3:$A$39,0)),IF(ISBLANK(_xlpm.v),NA(),_xlpm.v))</f>
        <v>#N/A</v>
      </c>
      <c r="L60" s="6" t="e" cm="1">
        <f t="array" ref="L60">_xlfn.LET(_xlpm.v,INDEX(L$3:L$39,MATCH($A60,$A$3:$A$39,0)),IF(ISBLANK(_xlpm.v),NA(),_xlpm.v))</f>
        <v>#N/A</v>
      </c>
      <c r="M60" s="6" t="e" cm="1">
        <f t="array" ref="M60">_xlfn.LET(_xlpm.v,INDEX(M$3:M$39,MATCH($A60,$A$3:$A$39,0)),IF(ISBLANK(_xlpm.v),NA(),_xlpm.v))</f>
        <v>#N/A</v>
      </c>
      <c r="N60" s="6" t="e" cm="1">
        <f t="array" ref="N60">_xlfn.LET(_xlpm.v,INDEX(N$3:N$39,MATCH($A60,$A$3:$A$39,0)),IF(ISBLANK(_xlpm.v),NA(),_xlpm.v))</f>
        <v>#N/A</v>
      </c>
    </row>
    <row r="61" spans="1:14" x14ac:dyDescent="0.4">
      <c r="A61" s="5">
        <v>0</v>
      </c>
      <c r="B61" s="6" t="e" cm="1">
        <f t="array" ref="B61">_xlfn.LET(_xlpm.v,INDEX(B$3:B$39,MATCH($A61,$A$3:$A$39,0)),IF(ISBLANK(_xlpm.v),NA(),_xlpm.v))</f>
        <v>#N/A</v>
      </c>
      <c r="C61" s="6" t="e" cm="1">
        <f t="array" ref="C61">_xlfn.LET(_xlpm.v,INDEX(C$3:C$39,MATCH($A61,$A$3:$A$39,0)),IF(ISBLANK(_xlpm.v),NA(),_xlpm.v))</f>
        <v>#N/A</v>
      </c>
      <c r="D61" s="6" t="e" cm="1">
        <f t="array" ref="D61">_xlfn.LET(_xlpm.v,INDEX(D$3:D$39,MATCH($A61,$A$3:$A$39,0)),IF(ISBLANK(_xlpm.v),NA(),_xlpm.v))</f>
        <v>#N/A</v>
      </c>
      <c r="E61" s="6" t="e" cm="1">
        <f t="array" ref="E61">_xlfn.LET(_xlpm.v,INDEX(E$3:E$39,MATCH($A61,$A$3:$A$39,0)),IF(ISBLANK(_xlpm.v),NA(),_xlpm.v))</f>
        <v>#N/A</v>
      </c>
      <c r="F61" s="6" t="e" cm="1">
        <f t="array" ref="F61">_xlfn.LET(_xlpm.v,INDEX(F$3:F$39,MATCH($A61,$A$3:$A$39,0)),IF(ISBLANK(_xlpm.v),NA(),_xlpm.v))</f>
        <v>#N/A</v>
      </c>
      <c r="G61" s="6" t="e" cm="1">
        <f t="array" ref="G61">_xlfn.LET(_xlpm.v,INDEX(G$3:G$39,MATCH($A61,$A$3:$A$39,0)),IF(ISBLANK(_xlpm.v),NA(),_xlpm.v))</f>
        <v>#N/A</v>
      </c>
      <c r="H61" s="6" t="e" cm="1">
        <f t="array" ref="H61">_xlfn.LET(_xlpm.v,INDEX(H$3:H$39,MATCH($A61,$A$3:$A$39,0)),IF(ISBLANK(_xlpm.v),NA(),_xlpm.v))</f>
        <v>#N/A</v>
      </c>
      <c r="I61" s="6" t="e" cm="1">
        <f t="array" ref="I61">_xlfn.LET(_xlpm.v,INDEX(I$3:I$39,MATCH($A61,$A$3:$A$39,0)),IF(ISBLANK(_xlpm.v),NA(),_xlpm.v))</f>
        <v>#N/A</v>
      </c>
      <c r="J61" s="6" t="e" cm="1">
        <f t="array" ref="J61">_xlfn.LET(_xlpm.v,INDEX(J$3:J$39,MATCH($A61,$A$3:$A$39,0)),IF(ISBLANK(_xlpm.v),NA(),_xlpm.v))</f>
        <v>#N/A</v>
      </c>
      <c r="K61" s="6" t="e" cm="1">
        <f t="array" ref="K61">_xlfn.LET(_xlpm.v,INDEX(K$3:K$39,MATCH($A61,$A$3:$A$39,0)),IF(ISBLANK(_xlpm.v),NA(),_xlpm.v))</f>
        <v>#N/A</v>
      </c>
      <c r="L61" s="6" t="e" cm="1">
        <f t="array" ref="L61">_xlfn.LET(_xlpm.v,INDEX(L$3:L$39,MATCH($A61,$A$3:$A$39,0)),IF(ISBLANK(_xlpm.v),NA(),_xlpm.v))</f>
        <v>#N/A</v>
      </c>
      <c r="M61" s="6" t="e" cm="1">
        <f t="array" ref="M61">_xlfn.LET(_xlpm.v,INDEX(M$3:M$39,MATCH($A61,$A$3:$A$39,0)),IF(ISBLANK(_xlpm.v),NA(),_xlpm.v))</f>
        <v>#N/A</v>
      </c>
      <c r="N61" s="6" t="e" cm="1">
        <f t="array" ref="N61">_xlfn.LET(_xlpm.v,INDEX(N$3:N$39,MATCH($A61,$A$3:$A$39,0)),IF(ISBLANK(_xlpm.v),NA(),_xlpm.v))</f>
        <v>#N/A</v>
      </c>
    </row>
    <row r="62" spans="1:14" x14ac:dyDescent="0.4">
      <c r="A62" s="5">
        <v>5</v>
      </c>
      <c r="B62" s="6" t="e" cm="1">
        <f t="array" ref="B62">_xlfn.LET(_xlpm.v,INDEX(B$3:B$39,MATCH($A62,$A$3:$A$39,0)),IF(ISBLANK(_xlpm.v),NA(),_xlpm.v))</f>
        <v>#N/A</v>
      </c>
      <c r="C62" s="6" t="e" cm="1">
        <f t="array" ref="C62">_xlfn.LET(_xlpm.v,INDEX(C$3:C$39,MATCH($A62,$A$3:$A$39,0)),IF(ISBLANK(_xlpm.v),NA(),_xlpm.v))</f>
        <v>#N/A</v>
      </c>
      <c r="D62" s="6" t="e" cm="1">
        <f t="array" ref="D62">_xlfn.LET(_xlpm.v,INDEX(D$3:D$39,MATCH($A62,$A$3:$A$39,0)),IF(ISBLANK(_xlpm.v),NA(),_xlpm.v))</f>
        <v>#N/A</v>
      </c>
      <c r="E62" s="6" t="e" cm="1">
        <f t="array" ref="E62">_xlfn.LET(_xlpm.v,INDEX(E$3:E$39,MATCH($A62,$A$3:$A$39,0)),IF(ISBLANK(_xlpm.v),NA(),_xlpm.v))</f>
        <v>#N/A</v>
      </c>
      <c r="F62" s="6" t="e" cm="1">
        <f t="array" ref="F62">_xlfn.LET(_xlpm.v,INDEX(F$3:F$39,MATCH($A62,$A$3:$A$39,0)),IF(ISBLANK(_xlpm.v),NA(),_xlpm.v))</f>
        <v>#N/A</v>
      </c>
      <c r="G62" s="6" t="e" cm="1">
        <f t="array" ref="G62">_xlfn.LET(_xlpm.v,INDEX(G$3:G$39,MATCH($A62,$A$3:$A$39,0)),IF(ISBLANK(_xlpm.v),NA(),_xlpm.v))</f>
        <v>#N/A</v>
      </c>
      <c r="H62" s="6" t="e" cm="1">
        <f t="array" ref="H62">_xlfn.LET(_xlpm.v,INDEX(H$3:H$39,MATCH($A62,$A$3:$A$39,0)),IF(ISBLANK(_xlpm.v),NA(),_xlpm.v))</f>
        <v>#N/A</v>
      </c>
      <c r="I62" s="6" t="e" cm="1">
        <f t="array" ref="I62">_xlfn.LET(_xlpm.v,INDEX(I$3:I$39,MATCH($A62,$A$3:$A$39,0)),IF(ISBLANK(_xlpm.v),NA(),_xlpm.v))</f>
        <v>#N/A</v>
      </c>
      <c r="J62" s="6" t="e" cm="1">
        <f t="array" ref="J62">_xlfn.LET(_xlpm.v,INDEX(J$3:J$39,MATCH($A62,$A$3:$A$39,0)),IF(ISBLANK(_xlpm.v),NA(),_xlpm.v))</f>
        <v>#N/A</v>
      </c>
      <c r="K62" s="6" t="e" cm="1">
        <f t="array" ref="K62">_xlfn.LET(_xlpm.v,INDEX(K$3:K$39,MATCH($A62,$A$3:$A$39,0)),IF(ISBLANK(_xlpm.v),NA(),_xlpm.v))</f>
        <v>#N/A</v>
      </c>
      <c r="L62" s="6" t="e" cm="1">
        <f t="array" ref="L62">_xlfn.LET(_xlpm.v,INDEX(L$3:L$39,MATCH($A62,$A$3:$A$39,0)),IF(ISBLANK(_xlpm.v),NA(),_xlpm.v))</f>
        <v>#N/A</v>
      </c>
      <c r="M62" s="6" t="e" cm="1">
        <f t="array" ref="M62">_xlfn.LET(_xlpm.v,INDEX(M$3:M$39,MATCH($A62,$A$3:$A$39,0)),IF(ISBLANK(_xlpm.v),NA(),_xlpm.v))</f>
        <v>#N/A</v>
      </c>
      <c r="N62" s="6" t="e" cm="1">
        <f t="array" ref="N62">_xlfn.LET(_xlpm.v,INDEX(N$3:N$39,MATCH($A62,$A$3:$A$39,0)),IF(ISBLANK(_xlpm.v),NA(),_xlpm.v))</f>
        <v>#N/A</v>
      </c>
    </row>
    <row r="63" spans="1:14" x14ac:dyDescent="0.4">
      <c r="A63" s="5">
        <v>10</v>
      </c>
      <c r="B63" s="6" t="e" cm="1">
        <f t="array" ref="B63">_xlfn.LET(_xlpm.v,INDEX(B$3:B$39,MATCH($A63,$A$3:$A$39,0)),IF(ISBLANK(_xlpm.v),NA(),_xlpm.v))</f>
        <v>#N/A</v>
      </c>
      <c r="C63" s="6" t="e" cm="1">
        <f t="array" ref="C63">_xlfn.LET(_xlpm.v,INDEX(C$3:C$39,MATCH($A63,$A$3:$A$39,0)),IF(ISBLANK(_xlpm.v),NA(),_xlpm.v))</f>
        <v>#N/A</v>
      </c>
      <c r="D63" s="6" t="e" cm="1">
        <f t="array" ref="D63">_xlfn.LET(_xlpm.v,INDEX(D$3:D$39,MATCH($A63,$A$3:$A$39,0)),IF(ISBLANK(_xlpm.v),NA(),_xlpm.v))</f>
        <v>#N/A</v>
      </c>
      <c r="E63" s="6" t="e" cm="1">
        <f t="array" ref="E63">_xlfn.LET(_xlpm.v,INDEX(E$3:E$39,MATCH($A63,$A$3:$A$39,0)),IF(ISBLANK(_xlpm.v),NA(),_xlpm.v))</f>
        <v>#N/A</v>
      </c>
      <c r="F63" s="6" t="e" cm="1">
        <f t="array" ref="F63">_xlfn.LET(_xlpm.v,INDEX(F$3:F$39,MATCH($A63,$A$3:$A$39,0)),IF(ISBLANK(_xlpm.v),NA(),_xlpm.v))</f>
        <v>#N/A</v>
      </c>
      <c r="G63" s="6" t="e" cm="1">
        <f t="array" ref="G63">_xlfn.LET(_xlpm.v,INDEX(G$3:G$39,MATCH($A63,$A$3:$A$39,0)),IF(ISBLANK(_xlpm.v),NA(),_xlpm.v))</f>
        <v>#N/A</v>
      </c>
      <c r="H63" s="6" t="e" cm="1">
        <f t="array" ref="H63">_xlfn.LET(_xlpm.v,INDEX(H$3:H$39,MATCH($A63,$A$3:$A$39,0)),IF(ISBLANK(_xlpm.v),NA(),_xlpm.v))</f>
        <v>#N/A</v>
      </c>
      <c r="I63" s="6" t="e" cm="1">
        <f t="array" ref="I63">_xlfn.LET(_xlpm.v,INDEX(I$3:I$39,MATCH($A63,$A$3:$A$39,0)),IF(ISBLANK(_xlpm.v),NA(),_xlpm.v))</f>
        <v>#N/A</v>
      </c>
      <c r="J63" s="6" t="e" cm="1">
        <f t="array" ref="J63">_xlfn.LET(_xlpm.v,INDEX(J$3:J$39,MATCH($A63,$A$3:$A$39,0)),IF(ISBLANK(_xlpm.v),NA(),_xlpm.v))</f>
        <v>#N/A</v>
      </c>
      <c r="K63" s="6" t="e" cm="1">
        <f t="array" ref="K63">_xlfn.LET(_xlpm.v,INDEX(K$3:K$39,MATCH($A63,$A$3:$A$39,0)),IF(ISBLANK(_xlpm.v),NA(),_xlpm.v))</f>
        <v>#N/A</v>
      </c>
      <c r="L63" s="6" t="e" cm="1">
        <f t="array" ref="L63">_xlfn.LET(_xlpm.v,INDEX(L$3:L$39,MATCH($A63,$A$3:$A$39,0)),IF(ISBLANK(_xlpm.v),NA(),_xlpm.v))</f>
        <v>#N/A</v>
      </c>
      <c r="M63" s="6" t="e" cm="1">
        <f t="array" ref="M63">_xlfn.LET(_xlpm.v,INDEX(M$3:M$39,MATCH($A63,$A$3:$A$39,0)),IF(ISBLANK(_xlpm.v),NA(),_xlpm.v))</f>
        <v>#N/A</v>
      </c>
      <c r="N63" s="6" t="e" cm="1">
        <f t="array" ref="N63">_xlfn.LET(_xlpm.v,INDEX(N$3:N$39,MATCH($A63,$A$3:$A$39,0)),IF(ISBLANK(_xlpm.v),NA(),_xlpm.v))</f>
        <v>#N/A</v>
      </c>
    </row>
    <row r="64" spans="1:14" x14ac:dyDescent="0.4">
      <c r="A64" s="5">
        <v>15</v>
      </c>
      <c r="B64" s="6" t="e" cm="1">
        <f t="array" ref="B64">_xlfn.LET(_xlpm.v,INDEX(B$3:B$39,MATCH($A64,$A$3:$A$39,0)),IF(ISBLANK(_xlpm.v),NA(),_xlpm.v))</f>
        <v>#N/A</v>
      </c>
      <c r="C64" s="6" t="e" cm="1">
        <f t="array" ref="C64">_xlfn.LET(_xlpm.v,INDEX(C$3:C$39,MATCH($A64,$A$3:$A$39,0)),IF(ISBLANK(_xlpm.v),NA(),_xlpm.v))</f>
        <v>#N/A</v>
      </c>
      <c r="D64" s="6" t="e" cm="1">
        <f t="array" ref="D64">_xlfn.LET(_xlpm.v,INDEX(D$3:D$39,MATCH($A64,$A$3:$A$39,0)),IF(ISBLANK(_xlpm.v),NA(),_xlpm.v))</f>
        <v>#N/A</v>
      </c>
      <c r="E64" s="6" t="e" cm="1">
        <f t="array" ref="E64">_xlfn.LET(_xlpm.v,INDEX(E$3:E$39,MATCH($A64,$A$3:$A$39,0)),IF(ISBLANK(_xlpm.v),NA(),_xlpm.v))</f>
        <v>#N/A</v>
      </c>
      <c r="F64" s="6" t="e" cm="1">
        <f t="array" ref="F64">_xlfn.LET(_xlpm.v,INDEX(F$3:F$39,MATCH($A64,$A$3:$A$39,0)),IF(ISBLANK(_xlpm.v),NA(),_xlpm.v))</f>
        <v>#N/A</v>
      </c>
      <c r="G64" s="6" t="e" cm="1">
        <f t="array" ref="G64">_xlfn.LET(_xlpm.v,INDEX(G$3:G$39,MATCH($A64,$A$3:$A$39,0)),IF(ISBLANK(_xlpm.v),NA(),_xlpm.v))</f>
        <v>#N/A</v>
      </c>
      <c r="H64" s="6" t="e" cm="1">
        <f t="array" ref="H64">_xlfn.LET(_xlpm.v,INDEX(H$3:H$39,MATCH($A64,$A$3:$A$39,0)),IF(ISBLANK(_xlpm.v),NA(),_xlpm.v))</f>
        <v>#N/A</v>
      </c>
      <c r="I64" s="6" t="e" cm="1">
        <f t="array" ref="I64">_xlfn.LET(_xlpm.v,INDEX(I$3:I$39,MATCH($A64,$A$3:$A$39,0)),IF(ISBLANK(_xlpm.v),NA(),_xlpm.v))</f>
        <v>#N/A</v>
      </c>
      <c r="J64" s="6" t="e" cm="1">
        <f t="array" ref="J64">_xlfn.LET(_xlpm.v,INDEX(J$3:J$39,MATCH($A64,$A$3:$A$39,0)),IF(ISBLANK(_xlpm.v),NA(),_xlpm.v))</f>
        <v>#N/A</v>
      </c>
      <c r="K64" s="6" t="e" cm="1">
        <f t="array" ref="K64">_xlfn.LET(_xlpm.v,INDEX(K$3:K$39,MATCH($A64,$A$3:$A$39,0)),IF(ISBLANK(_xlpm.v),NA(),_xlpm.v))</f>
        <v>#N/A</v>
      </c>
      <c r="L64" s="6" t="e" cm="1">
        <f t="array" ref="L64">_xlfn.LET(_xlpm.v,INDEX(L$3:L$39,MATCH($A64,$A$3:$A$39,0)),IF(ISBLANK(_xlpm.v),NA(),_xlpm.v))</f>
        <v>#N/A</v>
      </c>
      <c r="M64" s="6" t="e" cm="1">
        <f t="array" ref="M64">_xlfn.LET(_xlpm.v,INDEX(M$3:M$39,MATCH($A64,$A$3:$A$39,0)),IF(ISBLANK(_xlpm.v),NA(),_xlpm.v))</f>
        <v>#N/A</v>
      </c>
      <c r="N64" s="6" t="e" cm="1">
        <f t="array" ref="N64">_xlfn.LET(_xlpm.v,INDEX(N$3:N$39,MATCH($A64,$A$3:$A$39,0)),IF(ISBLANK(_xlpm.v),NA(),_xlpm.v))</f>
        <v>#N/A</v>
      </c>
    </row>
    <row r="65" spans="1:14" x14ac:dyDescent="0.4">
      <c r="A65" s="5">
        <v>20</v>
      </c>
      <c r="B65" s="6" t="e" cm="1">
        <f t="array" ref="B65">_xlfn.LET(_xlpm.v,INDEX(B$3:B$39,MATCH($A65,$A$3:$A$39,0)),IF(ISBLANK(_xlpm.v),NA(),_xlpm.v))</f>
        <v>#N/A</v>
      </c>
      <c r="C65" s="6" t="e" cm="1">
        <f t="array" ref="C65">_xlfn.LET(_xlpm.v,INDEX(C$3:C$39,MATCH($A65,$A$3:$A$39,0)),IF(ISBLANK(_xlpm.v),NA(),_xlpm.v))</f>
        <v>#N/A</v>
      </c>
      <c r="D65" s="6" t="e" cm="1">
        <f t="array" ref="D65">_xlfn.LET(_xlpm.v,INDEX(D$3:D$39,MATCH($A65,$A$3:$A$39,0)),IF(ISBLANK(_xlpm.v),NA(),_xlpm.v))</f>
        <v>#N/A</v>
      </c>
      <c r="E65" s="6" t="e" cm="1">
        <f t="array" ref="E65">_xlfn.LET(_xlpm.v,INDEX(E$3:E$39,MATCH($A65,$A$3:$A$39,0)),IF(ISBLANK(_xlpm.v),NA(),_xlpm.v))</f>
        <v>#N/A</v>
      </c>
      <c r="F65" s="6" t="e" cm="1">
        <f t="array" ref="F65">_xlfn.LET(_xlpm.v,INDEX(F$3:F$39,MATCH($A65,$A$3:$A$39,0)),IF(ISBLANK(_xlpm.v),NA(),_xlpm.v))</f>
        <v>#N/A</v>
      </c>
      <c r="G65" s="6" t="e" cm="1">
        <f t="array" ref="G65">_xlfn.LET(_xlpm.v,INDEX(G$3:G$39,MATCH($A65,$A$3:$A$39,0)),IF(ISBLANK(_xlpm.v),NA(),_xlpm.v))</f>
        <v>#N/A</v>
      </c>
      <c r="H65" s="6" t="e" cm="1">
        <f t="array" ref="H65">_xlfn.LET(_xlpm.v,INDEX(H$3:H$39,MATCH($A65,$A$3:$A$39,0)),IF(ISBLANK(_xlpm.v),NA(),_xlpm.v))</f>
        <v>#N/A</v>
      </c>
      <c r="I65" s="6" t="e" cm="1">
        <f t="array" ref="I65">_xlfn.LET(_xlpm.v,INDEX(I$3:I$39,MATCH($A65,$A$3:$A$39,0)),IF(ISBLANK(_xlpm.v),NA(),_xlpm.v))</f>
        <v>#N/A</v>
      </c>
      <c r="J65" s="6" t="e" cm="1">
        <f t="array" ref="J65">_xlfn.LET(_xlpm.v,INDEX(J$3:J$39,MATCH($A65,$A$3:$A$39,0)),IF(ISBLANK(_xlpm.v),NA(),_xlpm.v))</f>
        <v>#N/A</v>
      </c>
      <c r="K65" s="6" t="e" cm="1">
        <f t="array" ref="K65">_xlfn.LET(_xlpm.v,INDEX(K$3:K$39,MATCH($A65,$A$3:$A$39,0)),IF(ISBLANK(_xlpm.v),NA(),_xlpm.v))</f>
        <v>#N/A</v>
      </c>
      <c r="L65" s="6" t="e" cm="1">
        <f t="array" ref="L65">_xlfn.LET(_xlpm.v,INDEX(L$3:L$39,MATCH($A65,$A$3:$A$39,0)),IF(ISBLANK(_xlpm.v),NA(),_xlpm.v))</f>
        <v>#N/A</v>
      </c>
      <c r="M65" s="6" t="e" cm="1">
        <f t="array" ref="M65">_xlfn.LET(_xlpm.v,INDEX(M$3:M$39,MATCH($A65,$A$3:$A$39,0)),IF(ISBLANK(_xlpm.v),NA(),_xlpm.v))</f>
        <v>#N/A</v>
      </c>
      <c r="N65" s="6" t="e" cm="1">
        <f t="array" ref="N65">_xlfn.LET(_xlpm.v,INDEX(N$3:N$39,MATCH($A65,$A$3:$A$39,0)),IF(ISBLANK(_xlpm.v),NA(),_xlpm.v))</f>
        <v>#N/A</v>
      </c>
    </row>
    <row r="66" spans="1:14" x14ac:dyDescent="0.4">
      <c r="A66" s="5">
        <v>25</v>
      </c>
      <c r="B66" s="6" t="e" cm="1">
        <f t="array" ref="B66">_xlfn.LET(_xlpm.v,INDEX(B$3:B$39,MATCH($A66,$A$3:$A$39,0)),IF(ISBLANK(_xlpm.v),NA(),_xlpm.v))</f>
        <v>#N/A</v>
      </c>
      <c r="C66" s="6" t="e" cm="1">
        <f t="array" ref="C66">_xlfn.LET(_xlpm.v,INDEX(C$3:C$39,MATCH($A66,$A$3:$A$39,0)),IF(ISBLANK(_xlpm.v),NA(),_xlpm.v))</f>
        <v>#N/A</v>
      </c>
      <c r="D66" s="6" t="e" cm="1">
        <f t="array" ref="D66">_xlfn.LET(_xlpm.v,INDEX(D$3:D$39,MATCH($A66,$A$3:$A$39,0)),IF(ISBLANK(_xlpm.v),NA(),_xlpm.v))</f>
        <v>#N/A</v>
      </c>
      <c r="E66" s="6" t="e" cm="1">
        <f t="array" ref="E66">_xlfn.LET(_xlpm.v,INDEX(E$3:E$39,MATCH($A66,$A$3:$A$39,0)),IF(ISBLANK(_xlpm.v),NA(),_xlpm.v))</f>
        <v>#N/A</v>
      </c>
      <c r="F66" s="6" t="e" cm="1">
        <f t="array" ref="F66">_xlfn.LET(_xlpm.v,INDEX(F$3:F$39,MATCH($A66,$A$3:$A$39,0)),IF(ISBLANK(_xlpm.v),NA(),_xlpm.v))</f>
        <v>#N/A</v>
      </c>
      <c r="G66" s="6" t="e" cm="1">
        <f t="array" ref="G66">_xlfn.LET(_xlpm.v,INDEX(G$3:G$39,MATCH($A66,$A$3:$A$39,0)),IF(ISBLANK(_xlpm.v),NA(),_xlpm.v))</f>
        <v>#N/A</v>
      </c>
      <c r="H66" s="6" t="e" cm="1">
        <f t="array" ref="H66">_xlfn.LET(_xlpm.v,INDEX(H$3:H$39,MATCH($A66,$A$3:$A$39,0)),IF(ISBLANK(_xlpm.v),NA(),_xlpm.v))</f>
        <v>#N/A</v>
      </c>
      <c r="I66" s="6" t="e" cm="1">
        <f t="array" ref="I66">_xlfn.LET(_xlpm.v,INDEX(I$3:I$39,MATCH($A66,$A$3:$A$39,0)),IF(ISBLANK(_xlpm.v),NA(),_xlpm.v))</f>
        <v>#N/A</v>
      </c>
      <c r="J66" s="6" t="e" cm="1">
        <f t="array" ref="J66">_xlfn.LET(_xlpm.v,INDEX(J$3:J$39,MATCH($A66,$A$3:$A$39,0)),IF(ISBLANK(_xlpm.v),NA(),_xlpm.v))</f>
        <v>#N/A</v>
      </c>
      <c r="K66" s="6" t="e" cm="1">
        <f t="array" ref="K66">_xlfn.LET(_xlpm.v,INDEX(K$3:K$39,MATCH($A66,$A$3:$A$39,0)),IF(ISBLANK(_xlpm.v),NA(),_xlpm.v))</f>
        <v>#N/A</v>
      </c>
      <c r="L66" s="6" t="e" cm="1">
        <f t="array" ref="L66">_xlfn.LET(_xlpm.v,INDEX(L$3:L$39,MATCH($A66,$A$3:$A$39,0)),IF(ISBLANK(_xlpm.v),NA(),_xlpm.v))</f>
        <v>#N/A</v>
      </c>
      <c r="M66" s="6" t="e" cm="1">
        <f t="array" ref="M66">_xlfn.LET(_xlpm.v,INDEX(M$3:M$39,MATCH($A66,$A$3:$A$39,0)),IF(ISBLANK(_xlpm.v),NA(),_xlpm.v))</f>
        <v>#N/A</v>
      </c>
      <c r="N66" s="6" t="e" cm="1">
        <f t="array" ref="N66">_xlfn.LET(_xlpm.v,INDEX(N$3:N$39,MATCH($A66,$A$3:$A$39,0)),IF(ISBLANK(_xlpm.v),NA(),_xlpm.v))</f>
        <v>#N/A</v>
      </c>
    </row>
    <row r="67" spans="1:14" x14ac:dyDescent="0.4">
      <c r="A67" s="5">
        <v>30</v>
      </c>
      <c r="B67" s="6" t="e" cm="1">
        <f t="array" ref="B67">_xlfn.LET(_xlpm.v,INDEX(B$3:B$39,MATCH($A67,$A$3:$A$39,0)),IF(ISBLANK(_xlpm.v),NA(),_xlpm.v))</f>
        <v>#N/A</v>
      </c>
      <c r="C67" s="6" t="e" cm="1">
        <f t="array" ref="C67">_xlfn.LET(_xlpm.v,INDEX(C$3:C$39,MATCH($A67,$A$3:$A$39,0)),IF(ISBLANK(_xlpm.v),NA(),_xlpm.v))</f>
        <v>#N/A</v>
      </c>
      <c r="D67" s="6" t="e" cm="1">
        <f t="array" ref="D67">_xlfn.LET(_xlpm.v,INDEX(D$3:D$39,MATCH($A67,$A$3:$A$39,0)),IF(ISBLANK(_xlpm.v),NA(),_xlpm.v))</f>
        <v>#N/A</v>
      </c>
      <c r="E67" s="6" t="e" cm="1">
        <f t="array" ref="E67">_xlfn.LET(_xlpm.v,INDEX(E$3:E$39,MATCH($A67,$A$3:$A$39,0)),IF(ISBLANK(_xlpm.v),NA(),_xlpm.v))</f>
        <v>#N/A</v>
      </c>
      <c r="F67" s="6" t="e" cm="1">
        <f t="array" ref="F67">_xlfn.LET(_xlpm.v,INDEX(F$3:F$39,MATCH($A67,$A$3:$A$39,0)),IF(ISBLANK(_xlpm.v),NA(),_xlpm.v))</f>
        <v>#N/A</v>
      </c>
      <c r="G67" s="6" t="e" cm="1">
        <f t="array" ref="G67">_xlfn.LET(_xlpm.v,INDEX(G$3:G$39,MATCH($A67,$A$3:$A$39,0)),IF(ISBLANK(_xlpm.v),NA(),_xlpm.v))</f>
        <v>#N/A</v>
      </c>
      <c r="H67" s="6" t="e" cm="1">
        <f t="array" ref="H67">_xlfn.LET(_xlpm.v,INDEX(H$3:H$39,MATCH($A67,$A$3:$A$39,0)),IF(ISBLANK(_xlpm.v),NA(),_xlpm.v))</f>
        <v>#N/A</v>
      </c>
      <c r="I67" s="6" t="e" cm="1">
        <f t="array" ref="I67">_xlfn.LET(_xlpm.v,INDEX(I$3:I$39,MATCH($A67,$A$3:$A$39,0)),IF(ISBLANK(_xlpm.v),NA(),_xlpm.v))</f>
        <v>#N/A</v>
      </c>
      <c r="J67" s="6" t="e" cm="1">
        <f t="array" ref="J67">_xlfn.LET(_xlpm.v,INDEX(J$3:J$39,MATCH($A67,$A$3:$A$39,0)),IF(ISBLANK(_xlpm.v),NA(),_xlpm.v))</f>
        <v>#N/A</v>
      </c>
      <c r="K67" s="6" t="e" cm="1">
        <f t="array" ref="K67">_xlfn.LET(_xlpm.v,INDEX(K$3:K$39,MATCH($A67,$A$3:$A$39,0)),IF(ISBLANK(_xlpm.v),NA(),_xlpm.v))</f>
        <v>#N/A</v>
      </c>
      <c r="L67" s="6" t="e" cm="1">
        <f t="array" ref="L67">_xlfn.LET(_xlpm.v,INDEX(L$3:L$39,MATCH($A67,$A$3:$A$39,0)),IF(ISBLANK(_xlpm.v),NA(),_xlpm.v))</f>
        <v>#N/A</v>
      </c>
      <c r="M67" s="6" t="e" cm="1">
        <f t="array" ref="M67">_xlfn.LET(_xlpm.v,INDEX(M$3:M$39,MATCH($A67,$A$3:$A$39,0)),IF(ISBLANK(_xlpm.v),NA(),_xlpm.v))</f>
        <v>#N/A</v>
      </c>
      <c r="N67" s="6" t="e" cm="1">
        <f t="array" ref="N67">_xlfn.LET(_xlpm.v,INDEX(N$3:N$39,MATCH($A67,$A$3:$A$39,0)),IF(ISBLANK(_xlpm.v),NA(),_xlpm.v))</f>
        <v>#N/A</v>
      </c>
    </row>
    <row r="68" spans="1:14" x14ac:dyDescent="0.4">
      <c r="A68" s="5">
        <v>35</v>
      </c>
      <c r="B68" s="6" t="e" cm="1">
        <f t="array" ref="B68">_xlfn.LET(_xlpm.v,INDEX(B$3:B$39,MATCH($A68,$A$3:$A$39,0)),IF(ISBLANK(_xlpm.v),NA(),_xlpm.v))</f>
        <v>#N/A</v>
      </c>
      <c r="C68" s="6" t="e" cm="1">
        <f t="array" ref="C68">_xlfn.LET(_xlpm.v,INDEX(C$3:C$39,MATCH($A68,$A$3:$A$39,0)),IF(ISBLANK(_xlpm.v),NA(),_xlpm.v))</f>
        <v>#N/A</v>
      </c>
      <c r="D68" s="6" t="e" cm="1">
        <f t="array" ref="D68">_xlfn.LET(_xlpm.v,INDEX(D$3:D$39,MATCH($A68,$A$3:$A$39,0)),IF(ISBLANK(_xlpm.v),NA(),_xlpm.v))</f>
        <v>#N/A</v>
      </c>
      <c r="E68" s="6" t="e" cm="1">
        <f t="array" ref="E68">_xlfn.LET(_xlpm.v,INDEX(E$3:E$39,MATCH($A68,$A$3:$A$39,0)),IF(ISBLANK(_xlpm.v),NA(),_xlpm.v))</f>
        <v>#N/A</v>
      </c>
      <c r="F68" s="6" t="e" cm="1">
        <f t="array" ref="F68">_xlfn.LET(_xlpm.v,INDEX(F$3:F$39,MATCH($A68,$A$3:$A$39,0)),IF(ISBLANK(_xlpm.v),NA(),_xlpm.v))</f>
        <v>#N/A</v>
      </c>
      <c r="G68" s="6" t="e" cm="1">
        <f t="array" ref="G68">_xlfn.LET(_xlpm.v,INDEX(G$3:G$39,MATCH($A68,$A$3:$A$39,0)),IF(ISBLANK(_xlpm.v),NA(),_xlpm.v))</f>
        <v>#N/A</v>
      </c>
      <c r="H68" s="6" t="e" cm="1">
        <f t="array" ref="H68">_xlfn.LET(_xlpm.v,INDEX(H$3:H$39,MATCH($A68,$A$3:$A$39,0)),IF(ISBLANK(_xlpm.v),NA(),_xlpm.v))</f>
        <v>#N/A</v>
      </c>
      <c r="I68" s="6" t="e" cm="1">
        <f t="array" ref="I68">_xlfn.LET(_xlpm.v,INDEX(I$3:I$39,MATCH($A68,$A$3:$A$39,0)),IF(ISBLANK(_xlpm.v),NA(),_xlpm.v))</f>
        <v>#N/A</v>
      </c>
      <c r="J68" s="6" t="e" cm="1">
        <f t="array" ref="J68">_xlfn.LET(_xlpm.v,INDEX(J$3:J$39,MATCH($A68,$A$3:$A$39,0)),IF(ISBLANK(_xlpm.v),NA(),_xlpm.v))</f>
        <v>#N/A</v>
      </c>
      <c r="K68" s="6" t="e" cm="1">
        <f t="array" ref="K68">_xlfn.LET(_xlpm.v,INDEX(K$3:K$39,MATCH($A68,$A$3:$A$39,0)),IF(ISBLANK(_xlpm.v),NA(),_xlpm.v))</f>
        <v>#N/A</v>
      </c>
      <c r="L68" s="6" t="e" cm="1">
        <f t="array" ref="L68">_xlfn.LET(_xlpm.v,INDEX(L$3:L$39,MATCH($A68,$A$3:$A$39,0)),IF(ISBLANK(_xlpm.v),NA(),_xlpm.v))</f>
        <v>#N/A</v>
      </c>
      <c r="M68" s="6" t="e" cm="1">
        <f t="array" ref="M68">_xlfn.LET(_xlpm.v,INDEX(M$3:M$39,MATCH($A68,$A$3:$A$39,0)),IF(ISBLANK(_xlpm.v),NA(),_xlpm.v))</f>
        <v>#N/A</v>
      </c>
      <c r="N68" s="6" t="e" cm="1">
        <f t="array" ref="N68">_xlfn.LET(_xlpm.v,INDEX(N$3:N$39,MATCH($A68,$A$3:$A$39,0)),IF(ISBLANK(_xlpm.v),NA(),_xlpm.v))</f>
        <v>#N/A</v>
      </c>
    </row>
    <row r="69" spans="1:14" x14ac:dyDescent="0.4">
      <c r="A69" s="5">
        <v>40</v>
      </c>
      <c r="B69" s="6" t="e" cm="1">
        <f t="array" ref="B69">_xlfn.LET(_xlpm.v,INDEX(B$3:B$39,MATCH($A69,$A$3:$A$39,0)),IF(ISBLANK(_xlpm.v),NA(),_xlpm.v))</f>
        <v>#N/A</v>
      </c>
      <c r="C69" s="6" t="e" cm="1">
        <f t="array" ref="C69">_xlfn.LET(_xlpm.v,INDEX(C$3:C$39,MATCH($A69,$A$3:$A$39,0)),IF(ISBLANK(_xlpm.v),NA(),_xlpm.v))</f>
        <v>#N/A</v>
      </c>
      <c r="D69" s="6" t="e" cm="1">
        <f t="array" ref="D69">_xlfn.LET(_xlpm.v,INDEX(D$3:D$39,MATCH($A69,$A$3:$A$39,0)),IF(ISBLANK(_xlpm.v),NA(),_xlpm.v))</f>
        <v>#N/A</v>
      </c>
      <c r="E69" s="6" t="e" cm="1">
        <f t="array" ref="E69">_xlfn.LET(_xlpm.v,INDEX(E$3:E$39,MATCH($A69,$A$3:$A$39,0)),IF(ISBLANK(_xlpm.v),NA(),_xlpm.v))</f>
        <v>#N/A</v>
      </c>
      <c r="F69" s="6" t="e" cm="1">
        <f t="array" ref="F69">_xlfn.LET(_xlpm.v,INDEX(F$3:F$39,MATCH($A69,$A$3:$A$39,0)),IF(ISBLANK(_xlpm.v),NA(),_xlpm.v))</f>
        <v>#N/A</v>
      </c>
      <c r="G69" s="6" t="e" cm="1">
        <f t="array" ref="G69">_xlfn.LET(_xlpm.v,INDEX(G$3:G$39,MATCH($A69,$A$3:$A$39,0)),IF(ISBLANK(_xlpm.v),NA(),_xlpm.v))</f>
        <v>#N/A</v>
      </c>
      <c r="H69" s="6" t="e" cm="1">
        <f t="array" ref="H69">_xlfn.LET(_xlpm.v,INDEX(H$3:H$39,MATCH($A69,$A$3:$A$39,0)),IF(ISBLANK(_xlpm.v),NA(),_xlpm.v))</f>
        <v>#N/A</v>
      </c>
      <c r="I69" s="6" t="e" cm="1">
        <f t="array" ref="I69">_xlfn.LET(_xlpm.v,INDEX(I$3:I$39,MATCH($A69,$A$3:$A$39,0)),IF(ISBLANK(_xlpm.v),NA(),_xlpm.v))</f>
        <v>#N/A</v>
      </c>
      <c r="J69" s="6" t="e" cm="1">
        <f t="array" ref="J69">_xlfn.LET(_xlpm.v,INDEX(J$3:J$39,MATCH($A69,$A$3:$A$39,0)),IF(ISBLANK(_xlpm.v),NA(),_xlpm.v))</f>
        <v>#N/A</v>
      </c>
      <c r="K69" s="6" t="e" cm="1">
        <f t="array" ref="K69">_xlfn.LET(_xlpm.v,INDEX(K$3:K$39,MATCH($A69,$A$3:$A$39,0)),IF(ISBLANK(_xlpm.v),NA(),_xlpm.v))</f>
        <v>#N/A</v>
      </c>
      <c r="L69" s="6" t="e" cm="1">
        <f t="array" ref="L69">_xlfn.LET(_xlpm.v,INDEX(L$3:L$39,MATCH($A69,$A$3:$A$39,0)),IF(ISBLANK(_xlpm.v),NA(),_xlpm.v))</f>
        <v>#N/A</v>
      </c>
      <c r="M69" s="6" t="e" cm="1">
        <f t="array" ref="M69">_xlfn.LET(_xlpm.v,INDEX(M$3:M$39,MATCH($A69,$A$3:$A$39,0)),IF(ISBLANK(_xlpm.v),NA(),_xlpm.v))</f>
        <v>#N/A</v>
      </c>
      <c r="N69" s="6" t="e" cm="1">
        <f t="array" ref="N69">_xlfn.LET(_xlpm.v,INDEX(N$3:N$39,MATCH($A69,$A$3:$A$39,0)),IF(ISBLANK(_xlpm.v),NA(),_xlpm.v))</f>
        <v>#N/A</v>
      </c>
    </row>
    <row r="70" spans="1:14" x14ac:dyDescent="0.4">
      <c r="A70" s="5">
        <v>45</v>
      </c>
      <c r="B70" s="6" t="e" cm="1">
        <f t="array" ref="B70">_xlfn.LET(_xlpm.v,INDEX(B$3:B$39,MATCH($A70,$A$3:$A$39,0)),IF(ISBLANK(_xlpm.v),NA(),_xlpm.v))</f>
        <v>#N/A</v>
      </c>
      <c r="C70" s="6" t="e" cm="1">
        <f t="array" ref="C70">_xlfn.LET(_xlpm.v,INDEX(C$3:C$39,MATCH($A70,$A$3:$A$39,0)),IF(ISBLANK(_xlpm.v),NA(),_xlpm.v))</f>
        <v>#N/A</v>
      </c>
      <c r="D70" s="6" t="e" cm="1">
        <f t="array" ref="D70">_xlfn.LET(_xlpm.v,INDEX(D$3:D$39,MATCH($A70,$A$3:$A$39,0)),IF(ISBLANK(_xlpm.v),NA(),_xlpm.v))</f>
        <v>#N/A</v>
      </c>
      <c r="E70" s="6" t="e" cm="1">
        <f t="array" ref="E70">_xlfn.LET(_xlpm.v,INDEX(E$3:E$39,MATCH($A70,$A$3:$A$39,0)),IF(ISBLANK(_xlpm.v),NA(),_xlpm.v))</f>
        <v>#N/A</v>
      </c>
      <c r="F70" s="6" t="e" cm="1">
        <f t="array" ref="F70">_xlfn.LET(_xlpm.v,INDEX(F$3:F$39,MATCH($A70,$A$3:$A$39,0)),IF(ISBLANK(_xlpm.v),NA(),_xlpm.v))</f>
        <v>#N/A</v>
      </c>
      <c r="G70" s="6" t="e" cm="1">
        <f t="array" ref="G70">_xlfn.LET(_xlpm.v,INDEX(G$3:G$39,MATCH($A70,$A$3:$A$39,0)),IF(ISBLANK(_xlpm.v),NA(),_xlpm.v))</f>
        <v>#N/A</v>
      </c>
      <c r="H70" s="6" t="e" cm="1">
        <f t="array" ref="H70">_xlfn.LET(_xlpm.v,INDEX(H$3:H$39,MATCH($A70,$A$3:$A$39,0)),IF(ISBLANK(_xlpm.v),NA(),_xlpm.v))</f>
        <v>#N/A</v>
      </c>
      <c r="I70" s="6" t="e" cm="1">
        <f t="array" ref="I70">_xlfn.LET(_xlpm.v,INDEX(I$3:I$39,MATCH($A70,$A$3:$A$39,0)),IF(ISBLANK(_xlpm.v),NA(),_xlpm.v))</f>
        <v>#N/A</v>
      </c>
      <c r="J70" s="6" t="e" cm="1">
        <f t="array" ref="J70">_xlfn.LET(_xlpm.v,INDEX(J$3:J$39,MATCH($A70,$A$3:$A$39,0)),IF(ISBLANK(_xlpm.v),NA(),_xlpm.v))</f>
        <v>#N/A</v>
      </c>
      <c r="K70" s="6" t="e" cm="1">
        <f t="array" ref="K70">_xlfn.LET(_xlpm.v,INDEX(K$3:K$39,MATCH($A70,$A$3:$A$39,0)),IF(ISBLANK(_xlpm.v),NA(),_xlpm.v))</f>
        <v>#N/A</v>
      </c>
      <c r="L70" s="6" t="e" cm="1">
        <f t="array" ref="L70">_xlfn.LET(_xlpm.v,INDEX(L$3:L$39,MATCH($A70,$A$3:$A$39,0)),IF(ISBLANK(_xlpm.v),NA(),_xlpm.v))</f>
        <v>#N/A</v>
      </c>
      <c r="M70" s="6" t="e" cm="1">
        <f t="array" ref="M70">_xlfn.LET(_xlpm.v,INDEX(M$3:M$39,MATCH($A70,$A$3:$A$39,0)),IF(ISBLANK(_xlpm.v),NA(),_xlpm.v))</f>
        <v>#N/A</v>
      </c>
      <c r="N70" s="6" t="e" cm="1">
        <f t="array" ref="N70">_xlfn.LET(_xlpm.v,INDEX(N$3:N$39,MATCH($A70,$A$3:$A$39,0)),IF(ISBLANK(_xlpm.v),NA(),_xlpm.v))</f>
        <v>#N/A</v>
      </c>
    </row>
    <row r="71" spans="1:14" x14ac:dyDescent="0.4">
      <c r="A71" s="5">
        <v>50</v>
      </c>
      <c r="B71" s="6" t="e" cm="1">
        <f t="array" ref="B71">_xlfn.LET(_xlpm.v,INDEX(B$3:B$39,MATCH($A71,$A$3:$A$39,0)),IF(ISBLANK(_xlpm.v),NA(),_xlpm.v))</f>
        <v>#N/A</v>
      </c>
      <c r="C71" s="6" t="e" cm="1">
        <f t="array" ref="C71">_xlfn.LET(_xlpm.v,INDEX(C$3:C$39,MATCH($A71,$A$3:$A$39,0)),IF(ISBLANK(_xlpm.v),NA(),_xlpm.v))</f>
        <v>#N/A</v>
      </c>
      <c r="D71" s="6" t="e" cm="1">
        <f t="array" ref="D71">_xlfn.LET(_xlpm.v,INDEX(D$3:D$39,MATCH($A71,$A$3:$A$39,0)),IF(ISBLANK(_xlpm.v),NA(),_xlpm.v))</f>
        <v>#N/A</v>
      </c>
      <c r="E71" s="6" t="e" cm="1">
        <f t="array" ref="E71">_xlfn.LET(_xlpm.v,INDEX(E$3:E$39,MATCH($A71,$A$3:$A$39,0)),IF(ISBLANK(_xlpm.v),NA(),_xlpm.v))</f>
        <v>#N/A</v>
      </c>
      <c r="F71" s="6" t="e" cm="1">
        <f t="array" ref="F71">_xlfn.LET(_xlpm.v,INDEX(F$3:F$39,MATCH($A71,$A$3:$A$39,0)),IF(ISBLANK(_xlpm.v),NA(),_xlpm.v))</f>
        <v>#N/A</v>
      </c>
      <c r="G71" s="6" t="e" cm="1">
        <f t="array" ref="G71">_xlfn.LET(_xlpm.v,INDEX(G$3:G$39,MATCH($A71,$A$3:$A$39,0)),IF(ISBLANK(_xlpm.v),NA(),_xlpm.v))</f>
        <v>#N/A</v>
      </c>
      <c r="H71" s="6" t="e" cm="1">
        <f t="array" ref="H71">_xlfn.LET(_xlpm.v,INDEX(H$3:H$39,MATCH($A71,$A$3:$A$39,0)),IF(ISBLANK(_xlpm.v),NA(),_xlpm.v))</f>
        <v>#N/A</v>
      </c>
      <c r="I71" s="6" t="e" cm="1">
        <f t="array" ref="I71">_xlfn.LET(_xlpm.v,INDEX(I$3:I$39,MATCH($A71,$A$3:$A$39,0)),IF(ISBLANK(_xlpm.v),NA(),_xlpm.v))</f>
        <v>#N/A</v>
      </c>
      <c r="J71" s="6" t="e" cm="1">
        <f t="array" ref="J71">_xlfn.LET(_xlpm.v,INDEX(J$3:J$39,MATCH($A71,$A$3:$A$39,0)),IF(ISBLANK(_xlpm.v),NA(),_xlpm.v))</f>
        <v>#N/A</v>
      </c>
      <c r="K71" s="6" t="e" cm="1">
        <f t="array" ref="K71">_xlfn.LET(_xlpm.v,INDEX(K$3:K$39,MATCH($A71,$A$3:$A$39,0)),IF(ISBLANK(_xlpm.v),NA(),_xlpm.v))</f>
        <v>#N/A</v>
      </c>
      <c r="L71" s="6" t="e" cm="1">
        <f t="array" ref="L71">_xlfn.LET(_xlpm.v,INDEX(L$3:L$39,MATCH($A71,$A$3:$A$39,0)),IF(ISBLANK(_xlpm.v),NA(),_xlpm.v))</f>
        <v>#N/A</v>
      </c>
      <c r="M71" s="6" t="e" cm="1">
        <f t="array" ref="M71">_xlfn.LET(_xlpm.v,INDEX(M$3:M$39,MATCH($A71,$A$3:$A$39,0)),IF(ISBLANK(_xlpm.v),NA(),_xlpm.v))</f>
        <v>#N/A</v>
      </c>
      <c r="N71" s="6" t="e" cm="1">
        <f t="array" ref="N71">_xlfn.LET(_xlpm.v,INDEX(N$3:N$39,MATCH($A71,$A$3:$A$39,0)),IF(ISBLANK(_xlpm.v),NA(),_xlpm.v))</f>
        <v>#N/A</v>
      </c>
    </row>
    <row r="72" spans="1:14" x14ac:dyDescent="0.4">
      <c r="A72" s="5">
        <v>55</v>
      </c>
      <c r="B72" s="6" t="e" cm="1">
        <f t="array" ref="B72">_xlfn.LET(_xlpm.v,INDEX(B$3:B$39,MATCH($A72,$A$3:$A$39,0)),IF(ISBLANK(_xlpm.v),NA(),_xlpm.v))</f>
        <v>#N/A</v>
      </c>
      <c r="C72" s="6" t="e" cm="1">
        <f t="array" ref="C72">_xlfn.LET(_xlpm.v,INDEX(C$3:C$39,MATCH($A72,$A$3:$A$39,0)),IF(ISBLANK(_xlpm.v),NA(),_xlpm.v))</f>
        <v>#N/A</v>
      </c>
      <c r="D72" s="6" t="e" cm="1">
        <f t="array" ref="D72">_xlfn.LET(_xlpm.v,INDEX(D$3:D$39,MATCH($A72,$A$3:$A$39,0)),IF(ISBLANK(_xlpm.v),NA(),_xlpm.v))</f>
        <v>#N/A</v>
      </c>
      <c r="E72" s="6" t="e" cm="1">
        <f t="array" ref="E72">_xlfn.LET(_xlpm.v,INDEX(E$3:E$39,MATCH($A72,$A$3:$A$39,0)),IF(ISBLANK(_xlpm.v),NA(),_xlpm.v))</f>
        <v>#N/A</v>
      </c>
      <c r="F72" s="6" t="e" cm="1">
        <f t="array" ref="F72">_xlfn.LET(_xlpm.v,INDEX(F$3:F$39,MATCH($A72,$A$3:$A$39,0)),IF(ISBLANK(_xlpm.v),NA(),_xlpm.v))</f>
        <v>#N/A</v>
      </c>
      <c r="G72" s="6" t="e" cm="1">
        <f t="array" ref="G72">_xlfn.LET(_xlpm.v,INDEX(G$3:G$39,MATCH($A72,$A$3:$A$39,0)),IF(ISBLANK(_xlpm.v),NA(),_xlpm.v))</f>
        <v>#N/A</v>
      </c>
      <c r="H72" s="6" t="e" cm="1">
        <f t="array" ref="H72">_xlfn.LET(_xlpm.v,INDEX(H$3:H$39,MATCH($A72,$A$3:$A$39,0)),IF(ISBLANK(_xlpm.v),NA(),_xlpm.v))</f>
        <v>#N/A</v>
      </c>
      <c r="I72" s="6" t="e" cm="1">
        <f t="array" ref="I72">_xlfn.LET(_xlpm.v,INDEX(I$3:I$39,MATCH($A72,$A$3:$A$39,0)),IF(ISBLANK(_xlpm.v),NA(),_xlpm.v))</f>
        <v>#N/A</v>
      </c>
      <c r="J72" s="6" t="e" cm="1">
        <f t="array" ref="J72">_xlfn.LET(_xlpm.v,INDEX(J$3:J$39,MATCH($A72,$A$3:$A$39,0)),IF(ISBLANK(_xlpm.v),NA(),_xlpm.v))</f>
        <v>#N/A</v>
      </c>
      <c r="K72" s="6" t="e" cm="1">
        <f t="array" ref="K72">_xlfn.LET(_xlpm.v,INDEX(K$3:K$39,MATCH($A72,$A$3:$A$39,0)),IF(ISBLANK(_xlpm.v),NA(),_xlpm.v))</f>
        <v>#N/A</v>
      </c>
      <c r="L72" s="6" t="e" cm="1">
        <f t="array" ref="L72">_xlfn.LET(_xlpm.v,INDEX(L$3:L$39,MATCH($A72,$A$3:$A$39,0)),IF(ISBLANK(_xlpm.v),NA(),_xlpm.v))</f>
        <v>#N/A</v>
      </c>
      <c r="M72" s="6" t="e" cm="1">
        <f t="array" ref="M72">_xlfn.LET(_xlpm.v,INDEX(M$3:M$39,MATCH($A72,$A$3:$A$39,0)),IF(ISBLANK(_xlpm.v),NA(),_xlpm.v))</f>
        <v>#N/A</v>
      </c>
      <c r="N72" s="6" t="e" cm="1">
        <f t="array" ref="N72">_xlfn.LET(_xlpm.v,INDEX(N$3:N$39,MATCH($A72,$A$3:$A$39,0)),IF(ISBLANK(_xlpm.v),NA(),_xlpm.v))</f>
        <v>#N/A</v>
      </c>
    </row>
    <row r="73" spans="1:14" x14ac:dyDescent="0.4">
      <c r="A73" s="5">
        <v>60</v>
      </c>
      <c r="B73" s="6" t="e" cm="1">
        <f t="array" ref="B73">_xlfn.LET(_xlpm.v,INDEX(B$3:B$39,MATCH($A73,$A$3:$A$39,0)),IF(ISBLANK(_xlpm.v),NA(),_xlpm.v))</f>
        <v>#N/A</v>
      </c>
      <c r="C73" s="6" t="e" cm="1">
        <f t="array" ref="C73">_xlfn.LET(_xlpm.v,INDEX(C$3:C$39,MATCH($A73,$A$3:$A$39,0)),IF(ISBLANK(_xlpm.v),NA(),_xlpm.v))</f>
        <v>#N/A</v>
      </c>
      <c r="D73" s="6" t="e" cm="1">
        <f t="array" ref="D73">_xlfn.LET(_xlpm.v,INDEX(D$3:D$39,MATCH($A73,$A$3:$A$39,0)),IF(ISBLANK(_xlpm.v),NA(),_xlpm.v))</f>
        <v>#N/A</v>
      </c>
      <c r="E73" s="6" t="e" cm="1">
        <f t="array" ref="E73">_xlfn.LET(_xlpm.v,INDEX(E$3:E$39,MATCH($A73,$A$3:$A$39,0)),IF(ISBLANK(_xlpm.v),NA(),_xlpm.v))</f>
        <v>#N/A</v>
      </c>
      <c r="F73" s="6" t="e" cm="1">
        <f t="array" ref="F73">_xlfn.LET(_xlpm.v,INDEX(F$3:F$39,MATCH($A73,$A$3:$A$39,0)),IF(ISBLANK(_xlpm.v),NA(),_xlpm.v))</f>
        <v>#N/A</v>
      </c>
      <c r="G73" s="6" t="e" cm="1">
        <f t="array" ref="G73">_xlfn.LET(_xlpm.v,INDEX(G$3:G$39,MATCH($A73,$A$3:$A$39,0)),IF(ISBLANK(_xlpm.v),NA(),_xlpm.v))</f>
        <v>#N/A</v>
      </c>
      <c r="H73" s="6" t="e" cm="1">
        <f t="array" ref="H73">_xlfn.LET(_xlpm.v,INDEX(H$3:H$39,MATCH($A73,$A$3:$A$39,0)),IF(ISBLANK(_xlpm.v),NA(),_xlpm.v))</f>
        <v>#N/A</v>
      </c>
      <c r="I73" s="6" t="e" cm="1">
        <f t="array" ref="I73">_xlfn.LET(_xlpm.v,INDEX(I$3:I$39,MATCH($A73,$A$3:$A$39,0)),IF(ISBLANK(_xlpm.v),NA(),_xlpm.v))</f>
        <v>#N/A</v>
      </c>
      <c r="J73" s="6" t="e" cm="1">
        <f t="array" ref="J73">_xlfn.LET(_xlpm.v,INDEX(J$3:J$39,MATCH($A73,$A$3:$A$39,0)),IF(ISBLANK(_xlpm.v),NA(),_xlpm.v))</f>
        <v>#N/A</v>
      </c>
      <c r="K73" s="6" t="e" cm="1">
        <f t="array" ref="K73">_xlfn.LET(_xlpm.v,INDEX(K$3:K$39,MATCH($A73,$A$3:$A$39,0)),IF(ISBLANK(_xlpm.v),NA(),_xlpm.v))</f>
        <v>#N/A</v>
      </c>
      <c r="L73" s="6" t="e" cm="1">
        <f t="array" ref="L73">_xlfn.LET(_xlpm.v,INDEX(L$3:L$39,MATCH($A73,$A$3:$A$39,0)),IF(ISBLANK(_xlpm.v),NA(),_xlpm.v))</f>
        <v>#N/A</v>
      </c>
      <c r="M73" s="6" t="e" cm="1">
        <f t="array" ref="M73">_xlfn.LET(_xlpm.v,INDEX(M$3:M$39,MATCH($A73,$A$3:$A$39,0)),IF(ISBLANK(_xlpm.v),NA(),_xlpm.v))</f>
        <v>#N/A</v>
      </c>
      <c r="N73" s="6" t="e" cm="1">
        <f t="array" ref="N73">_xlfn.LET(_xlpm.v,INDEX(N$3:N$39,MATCH($A73,$A$3:$A$39,0)),IF(ISBLANK(_xlpm.v),NA(),_xlpm.v))</f>
        <v>#N/A</v>
      </c>
    </row>
    <row r="74" spans="1:14" x14ac:dyDescent="0.4">
      <c r="A74" s="5">
        <v>65</v>
      </c>
      <c r="B74" s="6" t="e" cm="1">
        <f t="array" ref="B74">_xlfn.LET(_xlpm.v,INDEX(B$3:B$39,MATCH($A74,$A$3:$A$39,0)),IF(ISBLANK(_xlpm.v),NA(),_xlpm.v))</f>
        <v>#N/A</v>
      </c>
      <c r="C74" s="6" t="e" cm="1">
        <f t="array" ref="C74">_xlfn.LET(_xlpm.v,INDEX(C$3:C$39,MATCH($A74,$A$3:$A$39,0)),IF(ISBLANK(_xlpm.v),NA(),_xlpm.v))</f>
        <v>#N/A</v>
      </c>
      <c r="D74" s="6" t="e" cm="1">
        <f t="array" ref="D74">_xlfn.LET(_xlpm.v,INDEX(D$3:D$39,MATCH($A74,$A$3:$A$39,0)),IF(ISBLANK(_xlpm.v),NA(),_xlpm.v))</f>
        <v>#N/A</v>
      </c>
      <c r="E74" s="6" t="e" cm="1">
        <f t="array" ref="E74">_xlfn.LET(_xlpm.v,INDEX(E$3:E$39,MATCH($A74,$A$3:$A$39,0)),IF(ISBLANK(_xlpm.v),NA(),_xlpm.v))</f>
        <v>#N/A</v>
      </c>
      <c r="F74" s="6" t="e" cm="1">
        <f t="array" ref="F74">_xlfn.LET(_xlpm.v,INDEX(F$3:F$39,MATCH($A74,$A$3:$A$39,0)),IF(ISBLANK(_xlpm.v),NA(),_xlpm.v))</f>
        <v>#N/A</v>
      </c>
      <c r="G74" s="6" t="e" cm="1">
        <f t="array" ref="G74">_xlfn.LET(_xlpm.v,INDEX(G$3:G$39,MATCH($A74,$A$3:$A$39,0)),IF(ISBLANK(_xlpm.v),NA(),_xlpm.v))</f>
        <v>#N/A</v>
      </c>
      <c r="H74" s="6" t="e" cm="1">
        <f t="array" ref="H74">_xlfn.LET(_xlpm.v,INDEX(H$3:H$39,MATCH($A74,$A$3:$A$39,0)),IF(ISBLANK(_xlpm.v),NA(),_xlpm.v))</f>
        <v>#N/A</v>
      </c>
      <c r="I74" s="6" t="e" cm="1">
        <f t="array" ref="I74">_xlfn.LET(_xlpm.v,INDEX(I$3:I$39,MATCH($A74,$A$3:$A$39,0)),IF(ISBLANK(_xlpm.v),NA(),_xlpm.v))</f>
        <v>#N/A</v>
      </c>
      <c r="J74" s="6" t="e" cm="1">
        <f t="array" ref="J74">_xlfn.LET(_xlpm.v,INDEX(J$3:J$39,MATCH($A74,$A$3:$A$39,0)),IF(ISBLANK(_xlpm.v),NA(),_xlpm.v))</f>
        <v>#N/A</v>
      </c>
      <c r="K74" s="6" t="e" cm="1">
        <f t="array" ref="K74">_xlfn.LET(_xlpm.v,INDEX(K$3:K$39,MATCH($A74,$A$3:$A$39,0)),IF(ISBLANK(_xlpm.v),NA(),_xlpm.v))</f>
        <v>#N/A</v>
      </c>
      <c r="L74" s="6" t="e" cm="1">
        <f t="array" ref="L74">_xlfn.LET(_xlpm.v,INDEX(L$3:L$39,MATCH($A74,$A$3:$A$39,0)),IF(ISBLANK(_xlpm.v),NA(),_xlpm.v))</f>
        <v>#N/A</v>
      </c>
      <c r="M74" s="6" t="e" cm="1">
        <f t="array" ref="M74">_xlfn.LET(_xlpm.v,INDEX(M$3:M$39,MATCH($A74,$A$3:$A$39,0)),IF(ISBLANK(_xlpm.v),NA(),_xlpm.v))</f>
        <v>#N/A</v>
      </c>
      <c r="N74" s="6" t="e" cm="1">
        <f t="array" ref="N74">_xlfn.LET(_xlpm.v,INDEX(N$3:N$39,MATCH($A74,$A$3:$A$39,0)),IF(ISBLANK(_xlpm.v),NA(),_xlpm.v))</f>
        <v>#N/A</v>
      </c>
    </row>
    <row r="75" spans="1:14" x14ac:dyDescent="0.4">
      <c r="A75" s="5">
        <v>70</v>
      </c>
      <c r="B75" s="6" t="e" cm="1">
        <f t="array" ref="B75">_xlfn.LET(_xlpm.v,INDEX(B$3:B$39,MATCH($A75,$A$3:$A$39,0)),IF(ISBLANK(_xlpm.v),NA(),_xlpm.v))</f>
        <v>#N/A</v>
      </c>
      <c r="C75" s="6" t="e" cm="1">
        <f t="array" ref="C75">_xlfn.LET(_xlpm.v,INDEX(C$3:C$39,MATCH($A75,$A$3:$A$39,0)),IF(ISBLANK(_xlpm.v),NA(),_xlpm.v))</f>
        <v>#N/A</v>
      </c>
      <c r="D75" s="6" t="e" cm="1">
        <f t="array" ref="D75">_xlfn.LET(_xlpm.v,INDEX(D$3:D$39,MATCH($A75,$A$3:$A$39,0)),IF(ISBLANK(_xlpm.v),NA(),_xlpm.v))</f>
        <v>#N/A</v>
      </c>
      <c r="E75" s="6" t="e" cm="1">
        <f t="array" ref="E75">_xlfn.LET(_xlpm.v,INDEX(E$3:E$39,MATCH($A75,$A$3:$A$39,0)),IF(ISBLANK(_xlpm.v),NA(),_xlpm.v))</f>
        <v>#N/A</v>
      </c>
      <c r="F75" s="6" t="e" cm="1">
        <f t="array" ref="F75">_xlfn.LET(_xlpm.v,INDEX(F$3:F$39,MATCH($A75,$A$3:$A$39,0)),IF(ISBLANK(_xlpm.v),NA(),_xlpm.v))</f>
        <v>#N/A</v>
      </c>
      <c r="G75" s="6" t="e" cm="1">
        <f t="array" ref="G75">_xlfn.LET(_xlpm.v,INDEX(G$3:G$39,MATCH($A75,$A$3:$A$39,0)),IF(ISBLANK(_xlpm.v),NA(),_xlpm.v))</f>
        <v>#N/A</v>
      </c>
      <c r="H75" s="6" t="e" cm="1">
        <f t="array" ref="H75">_xlfn.LET(_xlpm.v,INDEX(H$3:H$39,MATCH($A75,$A$3:$A$39,0)),IF(ISBLANK(_xlpm.v),NA(),_xlpm.v))</f>
        <v>#N/A</v>
      </c>
      <c r="I75" s="6" t="e" cm="1">
        <f t="array" ref="I75">_xlfn.LET(_xlpm.v,INDEX(I$3:I$39,MATCH($A75,$A$3:$A$39,0)),IF(ISBLANK(_xlpm.v),NA(),_xlpm.v))</f>
        <v>#N/A</v>
      </c>
      <c r="J75" s="6" t="e" cm="1">
        <f t="array" ref="J75">_xlfn.LET(_xlpm.v,INDEX(J$3:J$39,MATCH($A75,$A$3:$A$39,0)),IF(ISBLANK(_xlpm.v),NA(),_xlpm.v))</f>
        <v>#N/A</v>
      </c>
      <c r="K75" s="6" t="e" cm="1">
        <f t="array" ref="K75">_xlfn.LET(_xlpm.v,INDEX(K$3:K$39,MATCH($A75,$A$3:$A$39,0)),IF(ISBLANK(_xlpm.v),NA(),_xlpm.v))</f>
        <v>#N/A</v>
      </c>
      <c r="L75" s="6" t="e" cm="1">
        <f t="array" ref="L75">_xlfn.LET(_xlpm.v,INDEX(L$3:L$39,MATCH($A75,$A$3:$A$39,0)),IF(ISBLANK(_xlpm.v),NA(),_xlpm.v))</f>
        <v>#N/A</v>
      </c>
      <c r="M75" s="6" t="e" cm="1">
        <f t="array" ref="M75">_xlfn.LET(_xlpm.v,INDEX(M$3:M$39,MATCH($A75,$A$3:$A$39,0)),IF(ISBLANK(_xlpm.v),NA(),_xlpm.v))</f>
        <v>#N/A</v>
      </c>
      <c r="N75" s="6" t="e" cm="1">
        <f t="array" ref="N75">_xlfn.LET(_xlpm.v,INDEX(N$3:N$39,MATCH($A75,$A$3:$A$39,0)),IF(ISBLANK(_xlpm.v),NA(),_xlpm.v))</f>
        <v>#N/A</v>
      </c>
    </row>
    <row r="76" spans="1:14" x14ac:dyDescent="0.4">
      <c r="A76" s="5">
        <v>75</v>
      </c>
      <c r="B76" s="6" t="e" cm="1">
        <f t="array" ref="B76">_xlfn.LET(_xlpm.v,INDEX(B$3:B$39,MATCH($A76,$A$3:$A$39,0)),IF(ISBLANK(_xlpm.v),NA(),_xlpm.v))</f>
        <v>#N/A</v>
      </c>
      <c r="C76" s="6" t="e" cm="1">
        <f t="array" ref="C76">_xlfn.LET(_xlpm.v,INDEX(C$3:C$39,MATCH($A76,$A$3:$A$39,0)),IF(ISBLANK(_xlpm.v),NA(),_xlpm.v))</f>
        <v>#N/A</v>
      </c>
      <c r="D76" s="6" t="e" cm="1">
        <f t="array" ref="D76">_xlfn.LET(_xlpm.v,INDEX(D$3:D$39,MATCH($A76,$A$3:$A$39,0)),IF(ISBLANK(_xlpm.v),NA(),_xlpm.v))</f>
        <v>#N/A</v>
      </c>
      <c r="E76" s="6" t="e" cm="1">
        <f t="array" ref="E76">_xlfn.LET(_xlpm.v,INDEX(E$3:E$39,MATCH($A76,$A$3:$A$39,0)),IF(ISBLANK(_xlpm.v),NA(),_xlpm.v))</f>
        <v>#N/A</v>
      </c>
      <c r="F76" s="6" t="e" cm="1">
        <f t="array" ref="F76">_xlfn.LET(_xlpm.v,INDEX(F$3:F$39,MATCH($A76,$A$3:$A$39,0)),IF(ISBLANK(_xlpm.v),NA(),_xlpm.v))</f>
        <v>#N/A</v>
      </c>
      <c r="G76" s="6" t="e" cm="1">
        <f t="array" ref="G76">_xlfn.LET(_xlpm.v,INDEX(G$3:G$39,MATCH($A76,$A$3:$A$39,0)),IF(ISBLANK(_xlpm.v),NA(),_xlpm.v))</f>
        <v>#N/A</v>
      </c>
      <c r="H76" s="6" t="e" cm="1">
        <f t="array" ref="H76">_xlfn.LET(_xlpm.v,INDEX(H$3:H$39,MATCH($A76,$A$3:$A$39,0)),IF(ISBLANK(_xlpm.v),NA(),_xlpm.v))</f>
        <v>#N/A</v>
      </c>
      <c r="I76" s="6" t="e" cm="1">
        <f t="array" ref="I76">_xlfn.LET(_xlpm.v,INDEX(I$3:I$39,MATCH($A76,$A$3:$A$39,0)),IF(ISBLANK(_xlpm.v),NA(),_xlpm.v))</f>
        <v>#N/A</v>
      </c>
      <c r="J76" s="6" t="e" cm="1">
        <f t="array" ref="J76">_xlfn.LET(_xlpm.v,INDEX(J$3:J$39,MATCH($A76,$A$3:$A$39,0)),IF(ISBLANK(_xlpm.v),NA(),_xlpm.v))</f>
        <v>#N/A</v>
      </c>
      <c r="K76" s="6" t="e" cm="1">
        <f t="array" ref="K76">_xlfn.LET(_xlpm.v,INDEX(K$3:K$39,MATCH($A76,$A$3:$A$39,0)),IF(ISBLANK(_xlpm.v),NA(),_xlpm.v))</f>
        <v>#N/A</v>
      </c>
      <c r="L76" s="6" t="e" cm="1">
        <f t="array" ref="L76">_xlfn.LET(_xlpm.v,INDEX(L$3:L$39,MATCH($A76,$A$3:$A$39,0)),IF(ISBLANK(_xlpm.v),NA(),_xlpm.v))</f>
        <v>#N/A</v>
      </c>
      <c r="M76" s="6" t="e" cm="1">
        <f t="array" ref="M76">_xlfn.LET(_xlpm.v,INDEX(M$3:M$39,MATCH($A76,$A$3:$A$39,0)),IF(ISBLANK(_xlpm.v),NA(),_xlpm.v))</f>
        <v>#N/A</v>
      </c>
      <c r="N76" s="6" t="e" cm="1">
        <f t="array" ref="N76">_xlfn.LET(_xlpm.v,INDEX(N$3:N$39,MATCH($A76,$A$3:$A$39,0)),IF(ISBLANK(_xlpm.v),NA(),_xlpm.v))</f>
        <v>#N/A</v>
      </c>
    </row>
    <row r="77" spans="1:14" x14ac:dyDescent="0.4">
      <c r="A77" s="5">
        <v>80</v>
      </c>
      <c r="B77" s="6" t="e" cm="1">
        <f t="array" ref="B77">_xlfn.LET(_xlpm.v,INDEX(B$3:B$39,MATCH($A77,$A$3:$A$39,0)),IF(ISBLANK(_xlpm.v),NA(),_xlpm.v))</f>
        <v>#N/A</v>
      </c>
      <c r="C77" s="6" t="e" cm="1">
        <f t="array" ref="C77">_xlfn.LET(_xlpm.v,INDEX(C$3:C$39,MATCH($A77,$A$3:$A$39,0)),IF(ISBLANK(_xlpm.v),NA(),_xlpm.v))</f>
        <v>#N/A</v>
      </c>
      <c r="D77" s="6" t="e" cm="1">
        <f t="array" ref="D77">_xlfn.LET(_xlpm.v,INDEX(D$3:D$39,MATCH($A77,$A$3:$A$39,0)),IF(ISBLANK(_xlpm.v),NA(),_xlpm.v))</f>
        <v>#N/A</v>
      </c>
      <c r="E77" s="6" t="e" cm="1">
        <f t="array" ref="E77">_xlfn.LET(_xlpm.v,INDEX(E$3:E$39,MATCH($A77,$A$3:$A$39,0)),IF(ISBLANK(_xlpm.v),NA(),_xlpm.v))</f>
        <v>#N/A</v>
      </c>
      <c r="F77" s="6" t="e" cm="1">
        <f t="array" ref="F77">_xlfn.LET(_xlpm.v,INDEX(F$3:F$39,MATCH($A77,$A$3:$A$39,0)),IF(ISBLANK(_xlpm.v),NA(),_xlpm.v))</f>
        <v>#N/A</v>
      </c>
      <c r="G77" s="6" t="e" cm="1">
        <f t="array" ref="G77">_xlfn.LET(_xlpm.v,INDEX(G$3:G$39,MATCH($A77,$A$3:$A$39,0)),IF(ISBLANK(_xlpm.v),NA(),_xlpm.v))</f>
        <v>#N/A</v>
      </c>
      <c r="H77" s="6" t="e" cm="1">
        <f t="array" ref="H77">_xlfn.LET(_xlpm.v,INDEX(H$3:H$39,MATCH($A77,$A$3:$A$39,0)),IF(ISBLANK(_xlpm.v),NA(),_xlpm.v))</f>
        <v>#N/A</v>
      </c>
      <c r="I77" s="6" t="e" cm="1">
        <f t="array" ref="I77">_xlfn.LET(_xlpm.v,INDEX(I$3:I$39,MATCH($A77,$A$3:$A$39,0)),IF(ISBLANK(_xlpm.v),NA(),_xlpm.v))</f>
        <v>#N/A</v>
      </c>
      <c r="J77" s="6" t="e" cm="1">
        <f t="array" ref="J77">_xlfn.LET(_xlpm.v,INDEX(J$3:J$39,MATCH($A77,$A$3:$A$39,0)),IF(ISBLANK(_xlpm.v),NA(),_xlpm.v))</f>
        <v>#N/A</v>
      </c>
      <c r="K77" s="6" t="e" cm="1">
        <f t="array" ref="K77">_xlfn.LET(_xlpm.v,INDEX(K$3:K$39,MATCH($A77,$A$3:$A$39,0)),IF(ISBLANK(_xlpm.v),NA(),_xlpm.v))</f>
        <v>#N/A</v>
      </c>
      <c r="L77" s="6" t="e" cm="1">
        <f t="array" ref="L77">_xlfn.LET(_xlpm.v,INDEX(L$3:L$39,MATCH($A77,$A$3:$A$39,0)),IF(ISBLANK(_xlpm.v),NA(),_xlpm.v))</f>
        <v>#N/A</v>
      </c>
      <c r="M77" s="6" t="e" cm="1">
        <f t="array" ref="M77">_xlfn.LET(_xlpm.v,INDEX(M$3:M$39,MATCH($A77,$A$3:$A$39,0)),IF(ISBLANK(_xlpm.v),NA(),_xlpm.v))</f>
        <v>#N/A</v>
      </c>
      <c r="N77" s="6" t="e" cm="1">
        <f t="array" ref="N77">_xlfn.LET(_xlpm.v,INDEX(N$3:N$39,MATCH($A77,$A$3:$A$39,0)),IF(ISBLANK(_xlpm.v),NA(),_xlpm.v))</f>
        <v>#N/A</v>
      </c>
    </row>
    <row r="78" spans="1:14" x14ac:dyDescent="0.4">
      <c r="A78" s="5">
        <v>85</v>
      </c>
      <c r="B78" s="6" t="e" cm="1">
        <f t="array" ref="B78">_xlfn.LET(_xlpm.v,INDEX(B$3:B$39,MATCH($A78,$A$3:$A$39,0)),IF(ISBLANK(_xlpm.v),NA(),_xlpm.v))</f>
        <v>#N/A</v>
      </c>
      <c r="C78" s="6" t="e" cm="1">
        <f t="array" ref="C78">_xlfn.LET(_xlpm.v,INDEX(C$3:C$39,MATCH($A78,$A$3:$A$39,0)),IF(ISBLANK(_xlpm.v),NA(),_xlpm.v))</f>
        <v>#N/A</v>
      </c>
      <c r="D78" s="6" t="e" cm="1">
        <f t="array" ref="D78">_xlfn.LET(_xlpm.v,INDEX(D$3:D$39,MATCH($A78,$A$3:$A$39,0)),IF(ISBLANK(_xlpm.v),NA(),_xlpm.v))</f>
        <v>#N/A</v>
      </c>
      <c r="E78" s="6" t="e" cm="1">
        <f t="array" ref="E78">_xlfn.LET(_xlpm.v,INDEX(E$3:E$39,MATCH($A78,$A$3:$A$39,0)),IF(ISBLANK(_xlpm.v),NA(),_xlpm.v))</f>
        <v>#N/A</v>
      </c>
      <c r="F78" s="6" t="e" cm="1">
        <f t="array" ref="F78">_xlfn.LET(_xlpm.v,INDEX(F$3:F$39,MATCH($A78,$A$3:$A$39,0)),IF(ISBLANK(_xlpm.v),NA(),_xlpm.v))</f>
        <v>#N/A</v>
      </c>
      <c r="G78" s="6" t="e" cm="1">
        <f t="array" ref="G78">_xlfn.LET(_xlpm.v,INDEX(G$3:G$39,MATCH($A78,$A$3:$A$39,0)),IF(ISBLANK(_xlpm.v),NA(),_xlpm.v))</f>
        <v>#N/A</v>
      </c>
      <c r="H78" s="6" t="e" cm="1">
        <f t="array" ref="H78">_xlfn.LET(_xlpm.v,INDEX(H$3:H$39,MATCH($A78,$A$3:$A$39,0)),IF(ISBLANK(_xlpm.v),NA(),_xlpm.v))</f>
        <v>#N/A</v>
      </c>
      <c r="I78" s="6" t="e" cm="1">
        <f t="array" ref="I78">_xlfn.LET(_xlpm.v,INDEX(I$3:I$39,MATCH($A78,$A$3:$A$39,0)),IF(ISBLANK(_xlpm.v),NA(),_xlpm.v))</f>
        <v>#N/A</v>
      </c>
      <c r="J78" s="6" t="e" cm="1">
        <f t="array" ref="J78">_xlfn.LET(_xlpm.v,INDEX(J$3:J$39,MATCH($A78,$A$3:$A$39,0)),IF(ISBLANK(_xlpm.v),NA(),_xlpm.v))</f>
        <v>#N/A</v>
      </c>
      <c r="K78" s="6" t="e" cm="1">
        <f t="array" ref="K78">_xlfn.LET(_xlpm.v,INDEX(K$3:K$39,MATCH($A78,$A$3:$A$39,0)),IF(ISBLANK(_xlpm.v),NA(),_xlpm.v))</f>
        <v>#N/A</v>
      </c>
      <c r="L78" s="6" t="e" cm="1">
        <f t="array" ref="L78">_xlfn.LET(_xlpm.v,INDEX(L$3:L$39,MATCH($A78,$A$3:$A$39,0)),IF(ISBLANK(_xlpm.v),NA(),_xlpm.v))</f>
        <v>#N/A</v>
      </c>
      <c r="M78" s="6" t="e" cm="1">
        <f t="array" ref="M78">_xlfn.LET(_xlpm.v,INDEX(M$3:M$39,MATCH($A78,$A$3:$A$39,0)),IF(ISBLANK(_xlpm.v),NA(),_xlpm.v))</f>
        <v>#N/A</v>
      </c>
      <c r="N78" s="6" t="e" cm="1">
        <f t="array" ref="N78">_xlfn.LET(_xlpm.v,INDEX(N$3:N$39,MATCH($A78,$A$3:$A$39,0)),IF(ISBLANK(_xlpm.v),NA(),_xlpm.v))</f>
        <v>#N/A</v>
      </c>
    </row>
    <row r="79" spans="1:14" x14ac:dyDescent="0.4">
      <c r="A79" s="5">
        <v>90</v>
      </c>
      <c r="B79" s="6" t="e" cm="1">
        <f t="array" ref="B79">_xlfn.LET(_xlpm.v,INDEX(B$3:B$39,MATCH($A79,$A$3:$A$39,0)),IF(ISBLANK(_xlpm.v),NA(),_xlpm.v))</f>
        <v>#N/A</v>
      </c>
      <c r="C79" s="6" t="e" cm="1">
        <f t="array" ref="C79">_xlfn.LET(_xlpm.v,INDEX(C$3:C$39,MATCH($A79,$A$3:$A$39,0)),IF(ISBLANK(_xlpm.v),NA(),_xlpm.v))</f>
        <v>#N/A</v>
      </c>
      <c r="D79" s="6" t="e" cm="1">
        <f t="array" ref="D79">_xlfn.LET(_xlpm.v,INDEX(D$3:D$39,MATCH($A79,$A$3:$A$39,0)),IF(ISBLANK(_xlpm.v),NA(),_xlpm.v))</f>
        <v>#N/A</v>
      </c>
      <c r="E79" s="6" t="e" cm="1">
        <f t="array" ref="E79">_xlfn.LET(_xlpm.v,INDEX(E$3:E$39,MATCH($A79,$A$3:$A$39,0)),IF(ISBLANK(_xlpm.v),NA(),_xlpm.v))</f>
        <v>#N/A</v>
      </c>
      <c r="F79" s="6" t="e" cm="1">
        <f t="array" ref="F79">_xlfn.LET(_xlpm.v,INDEX(F$3:F$39,MATCH($A79,$A$3:$A$39,0)),IF(ISBLANK(_xlpm.v),NA(),_xlpm.v))</f>
        <v>#N/A</v>
      </c>
      <c r="G79" s="6" t="e" cm="1">
        <f t="array" ref="G79">_xlfn.LET(_xlpm.v,INDEX(G$3:G$39,MATCH($A79,$A$3:$A$39,0)),IF(ISBLANK(_xlpm.v),NA(),_xlpm.v))</f>
        <v>#N/A</v>
      </c>
      <c r="H79" s="6" t="e" cm="1">
        <f t="array" ref="H79">_xlfn.LET(_xlpm.v,INDEX(H$3:H$39,MATCH($A79,$A$3:$A$39,0)),IF(ISBLANK(_xlpm.v),NA(),_xlpm.v))</f>
        <v>#N/A</v>
      </c>
      <c r="I79" s="6" t="e" cm="1">
        <f t="array" ref="I79">_xlfn.LET(_xlpm.v,INDEX(I$3:I$39,MATCH($A79,$A$3:$A$39,0)),IF(ISBLANK(_xlpm.v),NA(),_xlpm.v))</f>
        <v>#N/A</v>
      </c>
      <c r="J79" s="6" t="e" cm="1">
        <f t="array" ref="J79">_xlfn.LET(_xlpm.v,INDEX(J$3:J$39,MATCH($A79,$A$3:$A$39,0)),IF(ISBLANK(_xlpm.v),NA(),_xlpm.v))</f>
        <v>#N/A</v>
      </c>
      <c r="K79" s="6" t="e" cm="1">
        <f t="array" ref="K79">_xlfn.LET(_xlpm.v,INDEX(K$3:K$39,MATCH($A79,$A$3:$A$39,0)),IF(ISBLANK(_xlpm.v),NA(),_xlpm.v))</f>
        <v>#N/A</v>
      </c>
      <c r="L79" s="6" t="e" cm="1">
        <f t="array" ref="L79">_xlfn.LET(_xlpm.v,INDEX(L$3:L$39,MATCH($A79,$A$3:$A$39,0)),IF(ISBLANK(_xlpm.v),NA(),_xlpm.v))</f>
        <v>#N/A</v>
      </c>
      <c r="M79" s="6" t="e" cm="1">
        <f t="array" ref="M79">_xlfn.LET(_xlpm.v,INDEX(M$3:M$39,MATCH($A79,$A$3:$A$39,0)),IF(ISBLANK(_xlpm.v),NA(),_xlpm.v))</f>
        <v>#N/A</v>
      </c>
      <c r="N79" s="6" t="e" cm="1">
        <f t="array" ref="N79">_xlfn.LET(_xlpm.v,INDEX(N$3:N$39,MATCH($A79,$A$3:$A$39,0)),IF(ISBLANK(_xlpm.v),NA(),_xlpm.v))</f>
        <v>#N/A</v>
      </c>
    </row>
    <row r="80" spans="1:14" x14ac:dyDescent="0.4">
      <c r="A80">
        <v>0</v>
      </c>
      <c r="B80">
        <v>-85</v>
      </c>
      <c r="C80">
        <v>-85</v>
      </c>
      <c r="D80">
        <v>-80</v>
      </c>
      <c r="E80">
        <v>-85</v>
      </c>
      <c r="F80">
        <v>-85</v>
      </c>
    </row>
    <row r="81" spans="1:14" x14ac:dyDescent="0.4">
      <c r="B81">
        <v>5</v>
      </c>
      <c r="C81">
        <v>5</v>
      </c>
      <c r="D81">
        <v>5</v>
      </c>
      <c r="E81">
        <v>5</v>
      </c>
      <c r="F81">
        <v>5</v>
      </c>
    </row>
    <row r="82" spans="1:14" x14ac:dyDescent="0.4">
      <c r="A82" s="5" t="s">
        <v>0</v>
      </c>
      <c r="B82" s="6" t="e" cm="1">
        <f t="array" aca="1" ref="B82" ca="1">IF(AND(ISBLANK(CHOOSE(N($A$40&gt;=$A$80)+1,B$80,B$40)),ISBLANK(CHOOSE(N($A$40&gt;=$A$80)+1,B$81,B$41))),NA(),_xlfn.LET(_xlpm.r,INDIRECT("A"&amp;MATCH(B80,$A$43:$A$79,0)+ROW(B43)-1&amp;":A"&amp;MATCH(B81,$A$43:$A$79,0)+ROW(B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C82" s="6" t="e" cm="1">
        <f t="array" aca="1" ref="C82" ca="1">IF(AND(ISBLANK(CHOOSE(N($A$40&gt;=$A$80)+1,C$80,C$40)),ISBLANK(CHOOSE(N($A$40&gt;=$A$80)+1,C$81,C$41))),NA(),_xlfn.LET(_xlpm.r,INDIRECT("A"&amp;MATCH(C80,$A$43:$A$79,0)+ROW(C43)-1&amp;":A"&amp;MATCH(C81,$A$43:$A$79,0)+ROW(C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D82" s="6" t="e" cm="1">
        <f t="array" aca="1" ref="D82" ca="1">IF(AND(ISBLANK(CHOOSE(N($A$40&gt;=$A$80)+1,D$80,D$40)),ISBLANK(CHOOSE(N($A$40&gt;=$A$80)+1,D$81,D$41))),NA(),_xlfn.LET(_xlpm.r,INDIRECT("A"&amp;MATCH(D80,$A$43:$A$79,0)+ROW(D43)-1&amp;":A"&amp;MATCH(D81,$A$43:$A$79,0)+ROW(D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E82" s="6" t="e" cm="1">
        <f t="array" aca="1" ref="E82" ca="1">IF(AND(ISBLANK(CHOOSE(N($A$40&gt;=$A$80)+1,E$80,E$40)),ISBLANK(CHOOSE(N($A$40&gt;=$A$80)+1,E$81,E$41))),NA(),_xlfn.LET(_xlpm.r,INDIRECT("A"&amp;MATCH(E80,$A$43:$A$79,0)+ROW(E43)-1&amp;":A"&amp;MATCH(E81,$A$43:$A$79,0)+ROW(E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F82" s="6" t="e" cm="1">
        <f t="array" aca="1" ref="F82" ca="1">IF(AND(ISBLANK(CHOOSE(N($A$40&gt;=$A$80)+1,F$80,F$40)),ISBLANK(CHOOSE(N($A$40&gt;=$A$80)+1,F$81,F$41))),NA(),_xlfn.LET(_xlpm.r,INDIRECT("A"&amp;MATCH(F80,$A$43:$A$79,0)+ROW(F43)-1&amp;":A"&amp;MATCH(F81,$A$43:$A$79,0)+ROW(F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G82" s="6" t="e" cm="1">
        <f t="array" aca="1" ref="G82" ca="1">IF(AND(ISBLANK(CHOOSE(N($A$40&gt;=$A$80)+1,G$80,G$40)),ISBLANK(CHOOSE(N($A$40&gt;=$A$80)+1,G$81,G$41))),NA(),_xlfn.LET(_xlpm.r,INDIRECT("A"&amp;MATCH(G80,$A$43:$A$79,0)+ROW(G43)-1&amp;":A"&amp;MATCH(G81,$A$43:$A$79,0)+ROW(G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H82" s="6" t="e" cm="1">
        <f t="array" aca="1" ref="H82" ca="1">IF(AND(ISBLANK(CHOOSE(N($A$40&gt;=$A$80)+1,H$80,H$40)),ISBLANK(CHOOSE(N($A$40&gt;=$A$80)+1,H$81,H$41))),NA(),_xlfn.LET(_xlpm.r,INDIRECT("A"&amp;MATCH(H80,$A$43:$A$79,0)+ROW(H43)-1&amp;":A"&amp;MATCH(H81,$A$43:$A$79,0)+ROW(H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I82" s="6" t="e" cm="1">
        <f t="array" aca="1" ref="I82" ca="1">IF(AND(ISBLANK(CHOOSE(N($A$40&gt;=$A$80)+1,I$80,I$40)),ISBLANK(CHOOSE(N($A$40&gt;=$A$80)+1,I$81,I$41))),NA(),_xlfn.LET(_xlpm.r,INDIRECT("A"&amp;MATCH(I80,$A$43:$A$79,0)+ROW(I43)-1&amp;":A"&amp;MATCH(I81,$A$43:$A$79,0)+ROW(I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J82" s="6" t="e" cm="1">
        <f t="array" aca="1" ref="J82" ca="1">IF(AND(ISBLANK(CHOOSE(N($A$40&gt;=$A$80)+1,J$80,J$40)),ISBLANK(CHOOSE(N($A$40&gt;=$A$80)+1,J$81,J$41))),NA(),_xlfn.LET(_xlpm.r,INDIRECT("A"&amp;MATCH(J80,$A$43:$A$79,0)+ROW(J43)-1&amp;":A"&amp;MATCH(J81,$A$43:$A$79,0)+ROW(J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K82" s="6" t="e" cm="1">
        <f t="array" aca="1" ref="K82" ca="1">IF(AND(ISBLANK(CHOOSE(N($A$40&gt;=$A$80)+1,K$80,K$40)),ISBLANK(CHOOSE(N($A$40&gt;=$A$80)+1,K$81,K$41))),NA(),_xlfn.LET(_xlpm.r,INDIRECT("A"&amp;MATCH(K80,$A$43:$A$79,0)+ROW(K43)-1&amp;":A"&amp;MATCH(K81,$A$43:$A$79,0)+ROW(K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L82" s="6" t="e" cm="1">
        <f t="array" aca="1" ref="L82" ca="1">IF(AND(ISBLANK(CHOOSE(N($A$40&gt;=$A$80)+1,L$80,L$40)),ISBLANK(CHOOSE(N($A$40&gt;=$A$80)+1,L$81,L$41))),NA(),_xlfn.LET(_xlpm.r,INDIRECT("A"&amp;MATCH(L80,$A$43:$A$79,0)+ROW(L43)-1&amp;":A"&amp;MATCH(L81,$A$43:$A$79,0)+ROW(L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M82" s="6" t="e" cm="1">
        <f t="array" aca="1" ref="M82" ca="1">IF(AND(ISBLANK(CHOOSE(N($A$40&gt;=$A$80)+1,M$80,M$40)),ISBLANK(CHOOSE(N($A$40&gt;=$A$80)+1,M$81,M$41))),NA(),_xlfn.LET(_xlpm.r,INDIRECT("A"&amp;MATCH(M80,$A$43:$A$79,0)+ROW(M43)-1&amp;":A"&amp;MATCH(M81,$A$43:$A$79,0)+ROW(M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N82" s="6" t="e" cm="1">
        <f t="array" aca="1" ref="N82" ca="1">IF(AND(ISBLANK(CHOOSE(N($A$40&gt;=$A$80)+1,N$80,N$40)),ISBLANK(CHOOSE(N($A$40&gt;=$A$80)+1,N$81,N$41))),NA(),_xlfn.LET(_xlpm.r,INDIRECT("A"&amp;MATCH(N80,$A$43:$A$79,0)+ROW(N43)-1&amp;":A"&amp;MATCH(N81,$A$43:$A$79,0)+ROW(N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</row>
    <row r="83" spans="1:14" x14ac:dyDescent="0.4">
      <c r="A83" s="5" t="s">
        <v>1</v>
      </c>
      <c r="B83" s="6" t="e" cm="1">
        <f t="array" aca="1" ref="B83" ca="1">IF(AND(ISBLANK(CHOOSE(N($A$40&gt;=$A$80)+1,B$80,B$40)),ISBLANK(CHOOSE(N($A$40&gt;=$A$80)+1,B$81,B$41))),NA(),_xlfn.LET(_xlpm.r,INDIRECT("A"&amp;MATCH(B80,$A$43:$A$79,0)+ROW(B43)-1&amp;":A"&amp;MATCH(B81,$A$43:$A$79,0)+ROW(B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C83" s="6" t="e" cm="1">
        <f t="array" aca="1" ref="C83" ca="1">IF(AND(ISBLANK(CHOOSE(N($A$40&gt;=$A$80)+1,C$80,C$40)),ISBLANK(CHOOSE(N($A$40&gt;=$A$80)+1,C$81,C$41))),NA(),_xlfn.LET(_xlpm.r,INDIRECT("A"&amp;MATCH(C80,$A$43:$A$79,0)+ROW(C43)-1&amp;":A"&amp;MATCH(C81,$A$43:$A$79,0)+ROW(C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D83" s="6" t="e" cm="1">
        <f t="array" aca="1" ref="D83" ca="1">IF(AND(ISBLANK(CHOOSE(N($A$40&gt;=$A$80)+1,D$80,D$40)),ISBLANK(CHOOSE(N($A$40&gt;=$A$80)+1,D$81,D$41))),NA(),_xlfn.LET(_xlpm.r,INDIRECT("A"&amp;MATCH(D80,$A$43:$A$79,0)+ROW(D43)-1&amp;":A"&amp;MATCH(D81,$A$43:$A$79,0)+ROW(D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E83" s="6" t="e" cm="1">
        <f t="array" aca="1" ref="E83" ca="1">IF(AND(ISBLANK(CHOOSE(N($A$40&gt;=$A$80)+1,E$80,E$40)),ISBLANK(CHOOSE(N($A$40&gt;=$A$80)+1,E$81,E$41))),NA(),_xlfn.LET(_xlpm.r,INDIRECT("A"&amp;MATCH(E80,$A$43:$A$79,0)+ROW(E43)-1&amp;":A"&amp;MATCH(E81,$A$43:$A$79,0)+ROW(E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F83" s="6" t="e" cm="1">
        <f t="array" aca="1" ref="F83" ca="1">IF(AND(ISBLANK(CHOOSE(N($A$40&gt;=$A$80)+1,F$80,F$40)),ISBLANK(CHOOSE(N($A$40&gt;=$A$80)+1,F$81,F$41))),NA(),_xlfn.LET(_xlpm.r,INDIRECT("A"&amp;MATCH(F80,$A$43:$A$79,0)+ROW(F43)-1&amp;":A"&amp;MATCH(F81,$A$43:$A$79,0)+ROW(F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G83" s="6" t="e" cm="1">
        <f t="array" aca="1" ref="G83" ca="1">IF(AND(ISBLANK(CHOOSE(N($A$40&gt;=$A$80)+1,G$80,G$40)),ISBLANK(CHOOSE(N($A$40&gt;=$A$80)+1,G$81,G$41))),NA(),_xlfn.LET(_xlpm.r,INDIRECT("A"&amp;MATCH(G80,$A$43:$A$79,0)+ROW(G43)-1&amp;":A"&amp;MATCH(G81,$A$43:$A$79,0)+ROW(G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H83" s="6" t="e" cm="1">
        <f t="array" aca="1" ref="H83" ca="1">IF(AND(ISBLANK(CHOOSE(N($A$40&gt;=$A$80)+1,H$80,H$40)),ISBLANK(CHOOSE(N($A$40&gt;=$A$80)+1,H$81,H$41))),NA(),_xlfn.LET(_xlpm.r,INDIRECT("A"&amp;MATCH(H80,$A$43:$A$79,0)+ROW(H43)-1&amp;":A"&amp;MATCH(H81,$A$43:$A$79,0)+ROW(H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I83" s="6" t="e" cm="1">
        <f t="array" aca="1" ref="I83" ca="1">IF(AND(ISBLANK(CHOOSE(N($A$40&gt;=$A$80)+1,I$80,I$40)),ISBLANK(CHOOSE(N($A$40&gt;=$A$80)+1,I$81,I$41))),NA(),_xlfn.LET(_xlpm.r,INDIRECT("A"&amp;MATCH(I80,$A$43:$A$79,0)+ROW(I43)-1&amp;":A"&amp;MATCH(I81,$A$43:$A$79,0)+ROW(I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J83" s="6" t="e" cm="1">
        <f t="array" aca="1" ref="J83" ca="1">IF(AND(ISBLANK(CHOOSE(N($A$40&gt;=$A$80)+1,J$80,J$40)),ISBLANK(CHOOSE(N($A$40&gt;=$A$80)+1,J$81,J$41))),NA(),_xlfn.LET(_xlpm.r,INDIRECT("A"&amp;MATCH(J80,$A$43:$A$79,0)+ROW(J43)-1&amp;":A"&amp;MATCH(J81,$A$43:$A$79,0)+ROW(J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K83" s="6" t="e" cm="1">
        <f t="array" aca="1" ref="K83" ca="1">IF(AND(ISBLANK(CHOOSE(N($A$40&gt;=$A$80)+1,K$80,K$40)),ISBLANK(CHOOSE(N($A$40&gt;=$A$80)+1,K$81,K$41))),NA(),_xlfn.LET(_xlpm.r,INDIRECT("A"&amp;MATCH(K80,$A$43:$A$79,0)+ROW(K43)-1&amp;":A"&amp;MATCH(K81,$A$43:$A$79,0)+ROW(K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L83" s="6" t="e" cm="1">
        <f t="array" aca="1" ref="L83" ca="1">IF(AND(ISBLANK(CHOOSE(N($A$40&gt;=$A$80)+1,L$80,L$40)),ISBLANK(CHOOSE(N($A$40&gt;=$A$80)+1,L$81,L$41))),NA(),_xlfn.LET(_xlpm.r,INDIRECT("A"&amp;MATCH(L80,$A$43:$A$79,0)+ROW(L43)-1&amp;":A"&amp;MATCH(L81,$A$43:$A$79,0)+ROW(L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M83" s="6" t="e" cm="1">
        <f t="array" aca="1" ref="M83" ca="1">IF(AND(ISBLANK(CHOOSE(N($A$40&gt;=$A$80)+1,M$80,M$40)),ISBLANK(CHOOSE(N($A$40&gt;=$A$80)+1,M$81,M$41))),NA(),_xlfn.LET(_xlpm.r,INDIRECT("A"&amp;MATCH(M80,$A$43:$A$79,0)+ROW(M43)-1&amp;":A"&amp;MATCH(M81,$A$43:$A$79,0)+ROW(M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N83" s="6" t="e" cm="1">
        <f t="array" aca="1" ref="N83" ca="1">IF(AND(ISBLANK(CHOOSE(N($A$40&gt;=$A$80)+1,N$80,N$40)),ISBLANK(CHOOSE(N($A$40&gt;=$A$80)+1,N$81,N$41))),NA(),_xlfn.LET(_xlpm.r,INDIRECT("A"&amp;MATCH(N80,$A$43:$A$79,0)+ROW(N43)-1&amp;":A"&amp;MATCH(N81,$A$43:$A$79,0)+ROW(N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</row>
    <row r="84" spans="1:14" x14ac:dyDescent="0.4">
      <c r="A84" s="5" t="s">
        <v>2</v>
      </c>
      <c r="B84" s="6" t="e" cm="1">
        <f t="array" aca="1" ref="B84" ca="1">IF(AND(ISBLANK(CHOOSE(N($A$40&gt;=$A$80)+1,B$80,B$40)),ISBLANK(CHOOSE(N($A$40&gt;=$A$80)+1,B$81,B$41))),NA(),_xlfn.LET(_xlpm.r,INDIRECT("A"&amp;MATCH(B80,$A$43:$A$79,0)+ROW(B43)-1&amp;":A"&amp;MATCH(B81,$A$43:$A$79,0)+ROW(B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C84" s="6" t="e" cm="1">
        <f t="array" aca="1" ref="C84" ca="1">IF(AND(ISBLANK(CHOOSE(N($A$40&gt;=$A$80)+1,C$80,C$40)),ISBLANK(CHOOSE(N($A$40&gt;=$A$80)+1,C$81,C$41))),NA(),_xlfn.LET(_xlpm.r,INDIRECT("A"&amp;MATCH(C80,$A$43:$A$79,0)+ROW(C43)-1&amp;":A"&amp;MATCH(C81,$A$43:$A$79,0)+ROW(C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D84" s="6" t="e" cm="1">
        <f t="array" aca="1" ref="D84" ca="1">IF(AND(ISBLANK(CHOOSE(N($A$40&gt;=$A$80)+1,D$80,D$40)),ISBLANK(CHOOSE(N($A$40&gt;=$A$80)+1,D$81,D$41))),NA(),_xlfn.LET(_xlpm.r,INDIRECT("A"&amp;MATCH(D80,$A$43:$A$79,0)+ROW(D43)-1&amp;":A"&amp;MATCH(D81,$A$43:$A$79,0)+ROW(D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E84" s="6" t="e" cm="1">
        <f t="array" aca="1" ref="E84" ca="1">IF(AND(ISBLANK(CHOOSE(N($A$40&gt;=$A$80)+1,E$80,E$40)),ISBLANK(CHOOSE(N($A$40&gt;=$A$80)+1,E$81,E$41))),NA(),_xlfn.LET(_xlpm.r,INDIRECT("A"&amp;MATCH(E80,$A$43:$A$79,0)+ROW(E43)-1&amp;":A"&amp;MATCH(E81,$A$43:$A$79,0)+ROW(E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F84" s="6" t="e" cm="1">
        <f t="array" aca="1" ref="F84" ca="1">IF(AND(ISBLANK(CHOOSE(N($A$40&gt;=$A$80)+1,F$80,F$40)),ISBLANK(CHOOSE(N($A$40&gt;=$A$80)+1,F$81,F$41))),NA(),_xlfn.LET(_xlpm.r,INDIRECT("A"&amp;MATCH(F80,$A$43:$A$79,0)+ROW(F43)-1&amp;":A"&amp;MATCH(F81,$A$43:$A$79,0)+ROW(F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G84" s="6" t="e" cm="1">
        <f t="array" aca="1" ref="G84" ca="1">IF(AND(ISBLANK(CHOOSE(N($A$40&gt;=$A$80)+1,G$80,G$40)),ISBLANK(CHOOSE(N($A$40&gt;=$A$80)+1,G$81,G$41))),NA(),_xlfn.LET(_xlpm.r,INDIRECT("A"&amp;MATCH(G80,$A$43:$A$79,0)+ROW(G43)-1&amp;":A"&amp;MATCH(G81,$A$43:$A$79,0)+ROW(G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H84" s="6" t="e" cm="1">
        <f t="array" aca="1" ref="H84" ca="1">IF(AND(ISBLANK(CHOOSE(N($A$40&gt;=$A$80)+1,H$80,H$40)),ISBLANK(CHOOSE(N($A$40&gt;=$A$80)+1,H$81,H$41))),NA(),_xlfn.LET(_xlpm.r,INDIRECT("A"&amp;MATCH(H80,$A$43:$A$79,0)+ROW(H43)-1&amp;":A"&amp;MATCH(H81,$A$43:$A$79,0)+ROW(H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I84" s="6" t="e" cm="1">
        <f t="array" aca="1" ref="I84" ca="1">IF(AND(ISBLANK(CHOOSE(N($A$40&gt;=$A$80)+1,I$80,I$40)),ISBLANK(CHOOSE(N($A$40&gt;=$A$80)+1,I$81,I$41))),NA(),_xlfn.LET(_xlpm.r,INDIRECT("A"&amp;MATCH(I80,$A$43:$A$79,0)+ROW(I43)-1&amp;":A"&amp;MATCH(I81,$A$43:$A$79,0)+ROW(I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J84" s="6" t="e" cm="1">
        <f t="array" aca="1" ref="J84" ca="1">IF(AND(ISBLANK(CHOOSE(N($A$40&gt;=$A$80)+1,J$80,J$40)),ISBLANK(CHOOSE(N($A$40&gt;=$A$80)+1,J$81,J$41))),NA(),_xlfn.LET(_xlpm.r,INDIRECT("A"&amp;MATCH(J80,$A$43:$A$79,0)+ROW(J43)-1&amp;":A"&amp;MATCH(J81,$A$43:$A$79,0)+ROW(J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K84" s="6" t="e" cm="1">
        <f t="array" aca="1" ref="K84" ca="1">IF(AND(ISBLANK(CHOOSE(N($A$40&gt;=$A$80)+1,K$80,K$40)),ISBLANK(CHOOSE(N($A$40&gt;=$A$80)+1,K$81,K$41))),NA(),_xlfn.LET(_xlpm.r,INDIRECT("A"&amp;MATCH(K80,$A$43:$A$79,0)+ROW(K43)-1&amp;":A"&amp;MATCH(K81,$A$43:$A$79,0)+ROW(K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L84" s="6" t="e" cm="1">
        <f t="array" aca="1" ref="L84" ca="1">IF(AND(ISBLANK(CHOOSE(N($A$40&gt;=$A$80)+1,L$80,L$40)),ISBLANK(CHOOSE(N($A$40&gt;=$A$80)+1,L$81,L$41))),NA(),_xlfn.LET(_xlpm.r,INDIRECT("A"&amp;MATCH(L80,$A$43:$A$79,0)+ROW(L43)-1&amp;":A"&amp;MATCH(L81,$A$43:$A$79,0)+ROW(L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M84" s="6" t="e" cm="1">
        <f t="array" aca="1" ref="M84" ca="1">IF(AND(ISBLANK(CHOOSE(N($A$40&gt;=$A$80)+1,M$80,M$40)),ISBLANK(CHOOSE(N($A$40&gt;=$A$80)+1,M$81,M$41))),NA(),_xlfn.LET(_xlpm.r,INDIRECT("A"&amp;MATCH(M80,$A$43:$A$79,0)+ROW(M43)-1&amp;":A"&amp;MATCH(M81,$A$43:$A$79,0)+ROW(M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N84" s="6" t="e" cm="1">
        <f t="array" aca="1" ref="N84" ca="1">IF(AND(ISBLANK(CHOOSE(N($A$40&gt;=$A$80)+1,N$80,N$40)),ISBLANK(CHOOSE(N($A$40&gt;=$A$80)+1,N$81,N$41))),NA(),_xlfn.LET(_xlpm.r,INDIRECT("A"&amp;MATCH(N80,$A$43:$A$79,0)+ROW(N43)-1&amp;":A"&amp;MATCH(N81,$A$43:$A$79,0)+ROW(N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</row>
    <row r="85" spans="1:14" x14ac:dyDescent="0.4">
      <c r="A85" s="5" t="s">
        <v>3</v>
      </c>
      <c r="B85" s="6" t="e">
        <f t="shared" ref="B85:N85" si="1">IF(AND(ISBLANK(CHOOSE(N($A$40&gt;=$A$80)+1,B$80,B$40)),ISBLANK(CHOOSE(N($A$40&gt;=$A$80)+1,B$81,B$41))),NA(),(-B83)/(2*B82))</f>
        <v>#N/A</v>
      </c>
      <c r="C85" s="6" t="e">
        <f t="shared" si="1"/>
        <v>#N/A</v>
      </c>
      <c r="D85" s="6" t="e">
        <f t="shared" si="1"/>
        <v>#N/A</v>
      </c>
      <c r="E85" s="6" t="e">
        <f t="shared" si="1"/>
        <v>#N/A</v>
      </c>
      <c r="F85" s="6" t="e">
        <f t="shared" si="1"/>
        <v>#N/A</v>
      </c>
      <c r="G85" s="6" t="e">
        <f t="shared" si="1"/>
        <v>#N/A</v>
      </c>
      <c r="H85" s="6" t="e">
        <f t="shared" si="1"/>
        <v>#N/A</v>
      </c>
      <c r="I85" s="6" t="e">
        <f t="shared" si="1"/>
        <v>#N/A</v>
      </c>
      <c r="J85" s="6" t="e">
        <f t="shared" si="1"/>
        <v>#N/A</v>
      </c>
      <c r="K85" s="6" t="e">
        <f t="shared" si="1"/>
        <v>#N/A</v>
      </c>
      <c r="L85" s="6" t="e">
        <f t="shared" si="1"/>
        <v>#N/A</v>
      </c>
      <c r="M85" s="6" t="e">
        <f t="shared" si="1"/>
        <v>#N/A</v>
      </c>
      <c r="N85" s="6" t="e">
        <f t="shared" si="1"/>
        <v>#N/A</v>
      </c>
    </row>
    <row r="86" spans="1:14" x14ac:dyDescent="0.4">
      <c r="A86" s="5" t="s">
        <v>4</v>
      </c>
      <c r="B86" s="6" t="e">
        <f t="shared" ref="B86:N86" si="2">IF(AND(ISBLANK(CHOOSE(N($A$40&gt;=$A$80)+1,B$80,B$40)),ISBLANK(CHOOSE(N($A$40&gt;=$A$80)+1,B$81,B$41))),NA(),B82*B85^2+B83*B85+B84)</f>
        <v>#N/A</v>
      </c>
      <c r="C86" s="6" t="e">
        <f t="shared" si="2"/>
        <v>#N/A</v>
      </c>
      <c r="D86" s="6" t="e">
        <f t="shared" si="2"/>
        <v>#N/A</v>
      </c>
      <c r="E86" s="6" t="e">
        <f t="shared" si="2"/>
        <v>#N/A</v>
      </c>
      <c r="F86" s="6" t="e">
        <f t="shared" si="2"/>
        <v>#N/A</v>
      </c>
      <c r="G86" s="6" t="e">
        <f t="shared" si="2"/>
        <v>#N/A</v>
      </c>
      <c r="H86" s="6" t="e">
        <f t="shared" si="2"/>
        <v>#N/A</v>
      </c>
      <c r="I86" s="6" t="e">
        <f t="shared" si="2"/>
        <v>#N/A</v>
      </c>
      <c r="J86" s="6" t="e">
        <f t="shared" si="2"/>
        <v>#N/A</v>
      </c>
      <c r="K86" s="6" t="e">
        <f t="shared" si="2"/>
        <v>#N/A</v>
      </c>
      <c r="L86" s="6" t="e">
        <f t="shared" si="2"/>
        <v>#N/A</v>
      </c>
      <c r="M86" s="6" t="e">
        <f t="shared" si="2"/>
        <v>#N/A</v>
      </c>
      <c r="N86" s="6" t="e">
        <f t="shared" si="2"/>
        <v>#N/A</v>
      </c>
    </row>
    <row r="87" spans="1:14" ht="19.5" thickBot="1" x14ac:dyDescent="0.45">
      <c r="A87" s="10" t="s">
        <v>5</v>
      </c>
      <c r="B87" s="11" t="e" cm="1">
        <f t="array" aca="1" ref="B87" ca="1">IF(AND(ISBLANK(CHOOSE(N($A$40&gt;=$A$80)+1,B$80,B$40)),ISBLANK(CHOOSE(N($A$40&gt;=$A$80)+1,B$81,B$41))),NA(),_xlfn.LET(_xlpm.a,INDIRECT("A"&amp;MATCH(B80,$A$43:$A$79,0)+ROW(B43)-1&amp;":A"&amp;MATCH(B81,$A$43:$A$79,0)+ROW(B43)-1),_xlpm.b,INDIRECT(ADDRESS(MATCH(B80,$A$43:$A$79,0)+ROW(B43)-1,COLUMN())&amp;":"&amp;ADDRESS(MATCH(B81,$A$43:$A$79,0)+ROW(B43)-1,COLUMN())),1-SUM((B82*_xlpm.a^2+B83*_xlpm.a+B84-_xlpm.b)^2)/SUM((_xlpm.b-AVERAGE(_xlpm.b))^2)))</f>
        <v>#N/A</v>
      </c>
      <c r="C87" s="11" t="e" cm="1">
        <f t="array" aca="1" ref="C87" ca="1">IF(AND(ISBLANK(CHOOSE(N($A$40&gt;=$A$80)+1,C$80,C$40)),ISBLANK(CHOOSE(N($A$40&gt;=$A$80)+1,C$81,C$41))),NA(),_xlfn.LET(_xlpm.a,INDIRECT("A"&amp;MATCH(C80,$A$43:$A$79,0)+ROW(C43)-1&amp;":A"&amp;MATCH(C81,$A$43:$A$79,0)+ROW(C43)-1),_xlpm.b,INDIRECT(ADDRESS(MATCH(C80,$A$43:$A$79,0)+ROW(C43)-1,COLUMN())&amp;":"&amp;ADDRESS(MATCH(C81,$A$43:$A$79,0)+ROW(C43)-1,COLUMN())),1-SUM((C82*_xlpm.a^2+C83*_xlpm.a+C84-_xlpm.b)^2)/SUM((_xlpm.b-AVERAGE(_xlpm.b))^2)))</f>
        <v>#N/A</v>
      </c>
      <c r="D87" s="11" t="e" cm="1">
        <f t="array" aca="1" ref="D87" ca="1">IF(AND(ISBLANK(CHOOSE(N($A$40&gt;=$A$80)+1,D$80,D$40)),ISBLANK(CHOOSE(N($A$40&gt;=$A$80)+1,D$81,D$41))),NA(),_xlfn.LET(_xlpm.a,INDIRECT("A"&amp;MATCH(D80,$A$43:$A$79,0)+ROW(D43)-1&amp;":A"&amp;MATCH(D81,$A$43:$A$79,0)+ROW(D43)-1),_xlpm.b,INDIRECT(ADDRESS(MATCH(D80,$A$43:$A$79,0)+ROW(D43)-1,COLUMN())&amp;":"&amp;ADDRESS(MATCH(D81,$A$43:$A$79,0)+ROW(D43)-1,COLUMN())),1-SUM((D82*_xlpm.a^2+D83*_xlpm.a+D84-_xlpm.b)^2)/SUM((_xlpm.b-AVERAGE(_xlpm.b))^2)))</f>
        <v>#N/A</v>
      </c>
      <c r="E87" s="11" t="e" cm="1">
        <f t="array" aca="1" ref="E87" ca="1">IF(AND(ISBLANK(CHOOSE(N($A$40&gt;=$A$80)+1,E$80,E$40)),ISBLANK(CHOOSE(N($A$40&gt;=$A$80)+1,E$81,E$41))),NA(),_xlfn.LET(_xlpm.a,INDIRECT("A"&amp;MATCH(E80,$A$43:$A$79,0)+ROW(E43)-1&amp;":A"&amp;MATCH(E81,$A$43:$A$79,0)+ROW(E43)-1),_xlpm.b,INDIRECT(ADDRESS(MATCH(E80,$A$43:$A$79,0)+ROW(E43)-1,COLUMN())&amp;":"&amp;ADDRESS(MATCH(E81,$A$43:$A$79,0)+ROW(E43)-1,COLUMN())),1-SUM((E82*_xlpm.a^2+E83*_xlpm.a+E84-_xlpm.b)^2)/SUM((_xlpm.b-AVERAGE(_xlpm.b))^2)))</f>
        <v>#N/A</v>
      </c>
      <c r="F87" s="11" t="e" cm="1">
        <f t="array" aca="1" ref="F87" ca="1">IF(AND(ISBLANK(CHOOSE(N($A$40&gt;=$A$80)+1,F$80,F$40)),ISBLANK(CHOOSE(N($A$40&gt;=$A$80)+1,F$81,F$41))),NA(),_xlfn.LET(_xlpm.a,INDIRECT("A"&amp;MATCH(F80,$A$43:$A$79,0)+ROW(F43)-1&amp;":A"&amp;MATCH(F81,$A$43:$A$79,0)+ROW(F43)-1),_xlpm.b,INDIRECT(ADDRESS(MATCH(F80,$A$43:$A$79,0)+ROW(F43)-1,COLUMN())&amp;":"&amp;ADDRESS(MATCH(F81,$A$43:$A$79,0)+ROW(F43)-1,COLUMN())),1-SUM((F82*_xlpm.a^2+F83*_xlpm.a+F84-_xlpm.b)^2)/SUM((_xlpm.b-AVERAGE(_xlpm.b))^2)))</f>
        <v>#N/A</v>
      </c>
      <c r="G87" s="11" t="e" cm="1">
        <f t="array" aca="1" ref="G87" ca="1">IF(AND(ISBLANK(CHOOSE(N($A$40&gt;=$A$80)+1,G$80,G$40)),ISBLANK(CHOOSE(N($A$40&gt;=$A$80)+1,G$81,G$41))),NA(),_xlfn.LET(_xlpm.a,INDIRECT("A"&amp;MATCH(G80,$A$43:$A$79,0)+ROW(G43)-1&amp;":A"&amp;MATCH(G81,$A$43:$A$79,0)+ROW(G43)-1),_xlpm.b,INDIRECT(ADDRESS(MATCH(G80,$A$43:$A$79,0)+ROW(G43)-1,COLUMN())&amp;":"&amp;ADDRESS(MATCH(G81,$A$43:$A$79,0)+ROW(G43)-1,COLUMN())),1-SUM((G82*_xlpm.a^2+G83*_xlpm.a+G84-_xlpm.b)^2)/SUM((_xlpm.b-AVERAGE(_xlpm.b))^2)))</f>
        <v>#N/A</v>
      </c>
      <c r="H87" s="11" t="e" cm="1">
        <f t="array" aca="1" ref="H87" ca="1">IF(AND(ISBLANK(CHOOSE(N($A$40&gt;=$A$80)+1,H$80,H$40)),ISBLANK(CHOOSE(N($A$40&gt;=$A$80)+1,H$81,H$41))),NA(),_xlfn.LET(_xlpm.a,INDIRECT("A"&amp;MATCH(H80,$A$43:$A$79,0)+ROW(H43)-1&amp;":A"&amp;MATCH(H81,$A$43:$A$79,0)+ROW(H43)-1),_xlpm.b,INDIRECT(ADDRESS(MATCH(H80,$A$43:$A$79,0)+ROW(H43)-1,COLUMN())&amp;":"&amp;ADDRESS(MATCH(H81,$A$43:$A$79,0)+ROW(H43)-1,COLUMN())),1-SUM((H82*_xlpm.a^2+H83*_xlpm.a+H84-_xlpm.b)^2)/SUM((_xlpm.b-AVERAGE(_xlpm.b))^2)))</f>
        <v>#N/A</v>
      </c>
      <c r="I87" s="11" t="e" cm="1">
        <f t="array" aca="1" ref="I87" ca="1">IF(AND(ISBLANK(CHOOSE(N($A$40&gt;=$A$80)+1,I$80,I$40)),ISBLANK(CHOOSE(N($A$40&gt;=$A$80)+1,I$81,I$41))),NA(),_xlfn.LET(_xlpm.a,INDIRECT("A"&amp;MATCH(I80,$A$43:$A$79,0)+ROW(I43)-1&amp;":A"&amp;MATCH(I81,$A$43:$A$79,0)+ROW(I43)-1),_xlpm.b,INDIRECT(ADDRESS(MATCH(I80,$A$43:$A$79,0)+ROW(I43)-1,COLUMN())&amp;":"&amp;ADDRESS(MATCH(I81,$A$43:$A$79,0)+ROW(I43)-1,COLUMN())),1-SUM((I82*_xlpm.a^2+I83*_xlpm.a+I84-_xlpm.b)^2)/SUM((_xlpm.b-AVERAGE(_xlpm.b))^2)))</f>
        <v>#N/A</v>
      </c>
      <c r="J87" s="11" t="e" cm="1">
        <f t="array" aca="1" ref="J87" ca="1">IF(AND(ISBLANK(CHOOSE(N($A$40&gt;=$A$80)+1,J$80,J$40)),ISBLANK(CHOOSE(N($A$40&gt;=$A$80)+1,J$81,J$41))),NA(),_xlfn.LET(_xlpm.a,INDIRECT("A"&amp;MATCH(J80,$A$43:$A$79,0)+ROW(J43)-1&amp;":A"&amp;MATCH(J81,$A$43:$A$79,0)+ROW(J43)-1),_xlpm.b,INDIRECT(ADDRESS(MATCH(J80,$A$43:$A$79,0)+ROW(J43)-1,COLUMN())&amp;":"&amp;ADDRESS(MATCH(J81,$A$43:$A$79,0)+ROW(J43)-1,COLUMN())),1-SUM((J82*_xlpm.a^2+J83*_xlpm.a+J84-_xlpm.b)^2)/SUM((_xlpm.b-AVERAGE(_xlpm.b))^2)))</f>
        <v>#N/A</v>
      </c>
      <c r="K87" s="11" t="e" cm="1">
        <f t="array" aca="1" ref="K87" ca="1">IF(AND(ISBLANK(CHOOSE(N($A$40&gt;=$A$80)+1,K$80,K$40)),ISBLANK(CHOOSE(N($A$40&gt;=$A$80)+1,K$81,K$41))),NA(),_xlfn.LET(_xlpm.a,INDIRECT("A"&amp;MATCH(K80,$A$43:$A$79,0)+ROW(K43)-1&amp;":A"&amp;MATCH(K81,$A$43:$A$79,0)+ROW(K43)-1),_xlpm.b,INDIRECT(ADDRESS(MATCH(K80,$A$43:$A$79,0)+ROW(K43)-1,COLUMN())&amp;":"&amp;ADDRESS(MATCH(K81,$A$43:$A$79,0)+ROW(K43)-1,COLUMN())),1-SUM((K82*_xlpm.a^2+K83*_xlpm.a+K84-_xlpm.b)^2)/SUM((_xlpm.b-AVERAGE(_xlpm.b))^2)))</f>
        <v>#N/A</v>
      </c>
      <c r="L87" s="11" t="e" cm="1">
        <f t="array" aca="1" ref="L87" ca="1">IF(AND(ISBLANK(CHOOSE(N($A$40&gt;=$A$80)+1,L$80,L$40)),ISBLANK(CHOOSE(N($A$40&gt;=$A$80)+1,L$81,L$41))),NA(),_xlfn.LET(_xlpm.a,INDIRECT("A"&amp;MATCH(L80,$A$43:$A$79,0)+ROW(L43)-1&amp;":A"&amp;MATCH(L81,$A$43:$A$79,0)+ROW(L43)-1),_xlpm.b,INDIRECT(ADDRESS(MATCH(L80,$A$43:$A$79,0)+ROW(L43)-1,COLUMN())&amp;":"&amp;ADDRESS(MATCH(L81,$A$43:$A$79,0)+ROW(L43)-1,COLUMN())),1-SUM((L82*_xlpm.a^2+L83*_xlpm.a+L84-_xlpm.b)^2)/SUM((_xlpm.b-AVERAGE(_xlpm.b))^2)))</f>
        <v>#N/A</v>
      </c>
      <c r="M87" s="11" t="e" cm="1">
        <f t="array" aca="1" ref="M87" ca="1">IF(AND(ISBLANK(CHOOSE(N($A$40&gt;=$A$80)+1,M$80,M$40)),ISBLANK(CHOOSE(N($A$40&gt;=$A$80)+1,M$81,M$41))),NA(),_xlfn.LET(_xlpm.a,INDIRECT("A"&amp;MATCH(M80,$A$43:$A$79,0)+ROW(M43)-1&amp;":A"&amp;MATCH(M81,$A$43:$A$79,0)+ROW(M43)-1),_xlpm.b,INDIRECT(ADDRESS(MATCH(M80,$A$43:$A$79,0)+ROW(M43)-1,COLUMN())&amp;":"&amp;ADDRESS(MATCH(M81,$A$43:$A$79,0)+ROW(M43)-1,COLUMN())),1-SUM((M82*_xlpm.a^2+M83*_xlpm.a+M84-_xlpm.b)^2)/SUM((_xlpm.b-AVERAGE(_xlpm.b))^2)))</f>
        <v>#N/A</v>
      </c>
      <c r="N87" s="11" t="e" cm="1">
        <f t="array" aca="1" ref="N87" ca="1">IF(AND(ISBLANK(CHOOSE(N($A$40&gt;=$A$80)+1,N$80,N$40)),ISBLANK(CHOOSE(N($A$40&gt;=$A$80)+1,N$81,N$41))),NA(),_xlfn.LET(_xlpm.a,INDIRECT("A"&amp;MATCH(N80,$A$43:$A$79,0)+ROW(N43)-1&amp;":A"&amp;MATCH(N81,$A$43:$A$79,0)+ROW(N43)-1),_xlpm.b,INDIRECT(ADDRESS(MATCH(N80,$A$43:$A$79,0)+ROW(N43)-1,COLUMN())&amp;":"&amp;ADDRESS(MATCH(N81,$A$43:$A$79,0)+ROW(N43)-1,COLUMN())),1-SUM((N82*_xlpm.a^2+N83*_xlpm.a+N84-_xlpm.b)^2)/SUM((_xlpm.b-AVERAGE(_xlpm.b))^2)))</f>
        <v>#N/A</v>
      </c>
    </row>
    <row r="89" spans="1:14" x14ac:dyDescent="0.4">
      <c r="A89" s="5" t="e">
        <f>IF(AND(COUNTIF(CHOOSE(N($A$40&gt;=$A$80)+1,$B$80:$N$80,$B$40:$N$40),"&lt;="&amp;-90)&gt;0,COUNTIF(CHOOSE(N($A$40&gt;=$A$80)+1,$B$81:$N$81,$B$41:$N$41),"&gt;="&amp;-90)&gt;0),-90,NA())</f>
        <v>#N/A</v>
      </c>
      <c r="B89" s="6" t="e">
        <f t="shared" ref="B89:N104" si="3">IF(ISNA(B43),NA(),IF(AND($A89&gt;=CHOOSE(N($A$40&gt;=$A$80)+1,B$80,B$40),$A89&lt;=CHOOSE(N($A$40&gt;=$A$80)+1,B$81,B$41)),B43,NA()))</f>
        <v>#N/A</v>
      </c>
      <c r="C89" s="6" t="e">
        <f t="shared" si="3"/>
        <v>#N/A</v>
      </c>
      <c r="D89" s="6" t="e">
        <f t="shared" si="3"/>
        <v>#N/A</v>
      </c>
      <c r="E89" s="6" t="e">
        <f t="shared" si="3"/>
        <v>#N/A</v>
      </c>
      <c r="F89" s="6" t="e">
        <f t="shared" si="3"/>
        <v>#N/A</v>
      </c>
      <c r="G89" s="6" t="e">
        <f t="shared" si="3"/>
        <v>#N/A</v>
      </c>
      <c r="H89" s="6" t="e">
        <f t="shared" si="3"/>
        <v>#N/A</v>
      </c>
      <c r="I89" s="6" t="e">
        <f t="shared" si="3"/>
        <v>#N/A</v>
      </c>
      <c r="J89" s="6" t="e">
        <f t="shared" si="3"/>
        <v>#N/A</v>
      </c>
      <c r="K89" s="6" t="e">
        <f t="shared" si="3"/>
        <v>#N/A</v>
      </c>
      <c r="L89" s="6" t="e">
        <f t="shared" si="3"/>
        <v>#N/A</v>
      </c>
      <c r="M89" s="6" t="e">
        <f t="shared" si="3"/>
        <v>#N/A</v>
      </c>
      <c r="N89" s="6" t="e">
        <f t="shared" si="3"/>
        <v>#N/A</v>
      </c>
    </row>
    <row r="90" spans="1:14" x14ac:dyDescent="0.4">
      <c r="A90" s="5" t="e">
        <f>IF(AND(COUNTIF(CHOOSE(N($A$40&gt;=$A$80)+1,$B$80:$N$80,$B$40:$N$40),"&lt;="&amp;-85)&gt;0,COUNTIF(CHOOSE(N($A$40&gt;=$A$80)+1,$B$81:$N$81,$B$41:$N$41),"&gt;="&amp;-85)&gt;0),-85,NA())</f>
        <v>#N/A</v>
      </c>
      <c r="B90" s="6" t="e">
        <f t="shared" si="3"/>
        <v>#N/A</v>
      </c>
      <c r="C90" s="6" t="e">
        <f t="shared" si="3"/>
        <v>#N/A</v>
      </c>
      <c r="D90" s="6" t="e">
        <f t="shared" si="3"/>
        <v>#N/A</v>
      </c>
      <c r="E90" s="6" t="e">
        <f t="shared" si="3"/>
        <v>#N/A</v>
      </c>
      <c r="F90" s="6" t="e">
        <f t="shared" si="3"/>
        <v>#N/A</v>
      </c>
      <c r="G90" s="6" t="e">
        <f t="shared" si="3"/>
        <v>#N/A</v>
      </c>
      <c r="H90" s="6" t="e">
        <f t="shared" si="3"/>
        <v>#N/A</v>
      </c>
      <c r="I90" s="6" t="e">
        <f t="shared" si="3"/>
        <v>#N/A</v>
      </c>
      <c r="J90" s="6" t="e">
        <f t="shared" si="3"/>
        <v>#N/A</v>
      </c>
      <c r="K90" s="6" t="e">
        <f t="shared" si="3"/>
        <v>#N/A</v>
      </c>
      <c r="L90" s="6" t="e">
        <f t="shared" si="3"/>
        <v>#N/A</v>
      </c>
      <c r="M90" s="6" t="e">
        <f t="shared" si="3"/>
        <v>#N/A</v>
      </c>
      <c r="N90" s="6" t="e">
        <f t="shared" si="3"/>
        <v>#N/A</v>
      </c>
    </row>
    <row r="91" spans="1:14" x14ac:dyDescent="0.4">
      <c r="A91" s="5" t="e">
        <f>IF(AND(COUNTIF(CHOOSE(N($A$40&gt;=$A$80)+1,$B$80:$N$80,$B$40:$N$40),"&lt;="&amp;-80)&gt;0,COUNTIF(CHOOSE(N($A$40&gt;=$A$80)+1,$B$81:$N$81,$B$41:$N$41),"&gt;="&amp;-80)&gt;0),-80,NA())</f>
        <v>#N/A</v>
      </c>
      <c r="B91" s="6" t="e">
        <f t="shared" si="3"/>
        <v>#N/A</v>
      </c>
      <c r="C91" s="6" t="e">
        <f t="shared" si="3"/>
        <v>#N/A</v>
      </c>
      <c r="D91" s="6" t="e">
        <f t="shared" si="3"/>
        <v>#N/A</v>
      </c>
      <c r="E91" s="6" t="e">
        <f t="shared" si="3"/>
        <v>#N/A</v>
      </c>
      <c r="F91" s="6" t="e">
        <f t="shared" si="3"/>
        <v>#N/A</v>
      </c>
      <c r="G91" s="6" t="e">
        <f t="shared" si="3"/>
        <v>#N/A</v>
      </c>
      <c r="H91" s="6" t="e">
        <f t="shared" si="3"/>
        <v>#N/A</v>
      </c>
      <c r="I91" s="6" t="e">
        <f t="shared" si="3"/>
        <v>#N/A</v>
      </c>
      <c r="J91" s="6" t="e">
        <f t="shared" si="3"/>
        <v>#N/A</v>
      </c>
      <c r="K91" s="6" t="e">
        <f t="shared" si="3"/>
        <v>#N/A</v>
      </c>
      <c r="L91" s="6" t="e">
        <f t="shared" si="3"/>
        <v>#N/A</v>
      </c>
      <c r="M91" s="6" t="e">
        <f t="shared" si="3"/>
        <v>#N/A</v>
      </c>
      <c r="N91" s="6" t="e">
        <f t="shared" si="3"/>
        <v>#N/A</v>
      </c>
    </row>
    <row r="92" spans="1:14" x14ac:dyDescent="0.4">
      <c r="A92" s="5" t="e">
        <f>IF(AND(COUNTIF(CHOOSE(N($A$40&gt;=$A$80)+1,$B$80:$N$80,$B$40:$N$40),"&lt;="&amp;-75)&gt;0,COUNTIF(CHOOSE(N($A$40&gt;=$A$80)+1,$B$81:$N$81,$B$41:$N$41),"&gt;="&amp;-75)&gt;0),-75,NA())</f>
        <v>#N/A</v>
      </c>
      <c r="B92" s="6" t="e">
        <f t="shared" si="3"/>
        <v>#N/A</v>
      </c>
      <c r="C92" s="6" t="e">
        <f t="shared" si="3"/>
        <v>#N/A</v>
      </c>
      <c r="D92" s="6" t="e">
        <f t="shared" si="3"/>
        <v>#N/A</v>
      </c>
      <c r="E92" s="6" t="e">
        <f t="shared" si="3"/>
        <v>#N/A</v>
      </c>
      <c r="F92" s="6" t="e">
        <f t="shared" si="3"/>
        <v>#N/A</v>
      </c>
      <c r="G92" s="6" t="e">
        <f t="shared" si="3"/>
        <v>#N/A</v>
      </c>
      <c r="H92" s="6" t="e">
        <f t="shared" si="3"/>
        <v>#N/A</v>
      </c>
      <c r="I92" s="6" t="e">
        <f t="shared" si="3"/>
        <v>#N/A</v>
      </c>
      <c r="J92" s="6" t="e">
        <f t="shared" si="3"/>
        <v>#N/A</v>
      </c>
      <c r="K92" s="6" t="e">
        <f t="shared" si="3"/>
        <v>#N/A</v>
      </c>
      <c r="L92" s="6" t="e">
        <f t="shared" si="3"/>
        <v>#N/A</v>
      </c>
      <c r="M92" s="6" t="e">
        <f t="shared" si="3"/>
        <v>#N/A</v>
      </c>
      <c r="N92" s="6" t="e">
        <f t="shared" si="3"/>
        <v>#N/A</v>
      </c>
    </row>
    <row r="93" spans="1:14" x14ac:dyDescent="0.4">
      <c r="A93" s="5" t="e">
        <f>IF(AND(COUNTIF(CHOOSE(N($A$40&gt;=$A$80)+1,$B$80:$N$80,$B$40:$N$40),"&lt;="&amp;-70)&gt;0,COUNTIF(CHOOSE(N($A$40&gt;=$A$80)+1,$B$81:$N$81,$B$41:$N$41),"&gt;="&amp;-70)&gt;0),-70,NA())</f>
        <v>#N/A</v>
      </c>
      <c r="B93" s="6" t="e">
        <f t="shared" si="3"/>
        <v>#N/A</v>
      </c>
      <c r="C93" s="6" t="e">
        <f t="shared" si="3"/>
        <v>#N/A</v>
      </c>
      <c r="D93" s="6" t="e">
        <f t="shared" si="3"/>
        <v>#N/A</v>
      </c>
      <c r="E93" s="6" t="e">
        <f t="shared" si="3"/>
        <v>#N/A</v>
      </c>
      <c r="F93" s="6" t="e">
        <f t="shared" si="3"/>
        <v>#N/A</v>
      </c>
      <c r="G93" s="6" t="e">
        <f t="shared" si="3"/>
        <v>#N/A</v>
      </c>
      <c r="H93" s="6" t="e">
        <f t="shared" si="3"/>
        <v>#N/A</v>
      </c>
      <c r="I93" s="6" t="e">
        <f t="shared" si="3"/>
        <v>#N/A</v>
      </c>
      <c r="J93" s="6" t="e">
        <f t="shared" si="3"/>
        <v>#N/A</v>
      </c>
      <c r="K93" s="6" t="e">
        <f t="shared" si="3"/>
        <v>#N/A</v>
      </c>
      <c r="L93" s="6" t="e">
        <f t="shared" si="3"/>
        <v>#N/A</v>
      </c>
      <c r="M93" s="6" t="e">
        <f t="shared" si="3"/>
        <v>#N/A</v>
      </c>
      <c r="N93" s="6" t="e">
        <f t="shared" si="3"/>
        <v>#N/A</v>
      </c>
    </row>
    <row r="94" spans="1:14" x14ac:dyDescent="0.4">
      <c r="A94" s="5" t="e">
        <f>IF(AND(COUNTIF(CHOOSE(N($A$40&gt;=$A$80)+1,$B$80:$N$80,$B$40:$N$40),"&lt;="&amp;-65)&gt;0,COUNTIF(CHOOSE(N($A$40&gt;=$A$80)+1,$B$81:$N$81,$B$41:$N$41),"&gt;="&amp;-65)&gt;0),-65,NA())</f>
        <v>#N/A</v>
      </c>
      <c r="B94" s="6" t="e">
        <f t="shared" si="3"/>
        <v>#N/A</v>
      </c>
      <c r="C94" s="6" t="e">
        <f t="shared" si="3"/>
        <v>#N/A</v>
      </c>
      <c r="D94" s="6" t="e">
        <f t="shared" si="3"/>
        <v>#N/A</v>
      </c>
      <c r="E94" s="6" t="e">
        <f t="shared" si="3"/>
        <v>#N/A</v>
      </c>
      <c r="F94" s="6" t="e">
        <f t="shared" si="3"/>
        <v>#N/A</v>
      </c>
      <c r="G94" s="6" t="e">
        <f t="shared" si="3"/>
        <v>#N/A</v>
      </c>
      <c r="H94" s="6" t="e">
        <f t="shared" si="3"/>
        <v>#N/A</v>
      </c>
      <c r="I94" s="6" t="e">
        <f t="shared" si="3"/>
        <v>#N/A</v>
      </c>
      <c r="J94" s="6" t="e">
        <f t="shared" si="3"/>
        <v>#N/A</v>
      </c>
      <c r="K94" s="6" t="e">
        <f t="shared" si="3"/>
        <v>#N/A</v>
      </c>
      <c r="L94" s="6" t="e">
        <f t="shared" si="3"/>
        <v>#N/A</v>
      </c>
      <c r="M94" s="6" t="e">
        <f t="shared" si="3"/>
        <v>#N/A</v>
      </c>
      <c r="N94" s="6" t="e">
        <f t="shared" si="3"/>
        <v>#N/A</v>
      </c>
    </row>
    <row r="95" spans="1:14" x14ac:dyDescent="0.4">
      <c r="A95" s="5" t="e">
        <f>IF(AND(COUNTIF(CHOOSE(N($A$40&gt;=$A$80)+1,$B$80:$N$80,$B$40:$N$40),"&lt;="&amp;-60)&gt;0,COUNTIF(CHOOSE(N($A$40&gt;=$A$80)+1,$B$81:$N$81,$B$41:$N$41),"&gt;="&amp;-60)&gt;0),-60,NA())</f>
        <v>#N/A</v>
      </c>
      <c r="B95" s="6" t="e">
        <f t="shared" si="3"/>
        <v>#N/A</v>
      </c>
      <c r="C95" s="6" t="e">
        <f t="shared" si="3"/>
        <v>#N/A</v>
      </c>
      <c r="D95" s="6" t="e">
        <f t="shared" si="3"/>
        <v>#N/A</v>
      </c>
      <c r="E95" s="6" t="e">
        <f t="shared" si="3"/>
        <v>#N/A</v>
      </c>
      <c r="F95" s="6" t="e">
        <f t="shared" si="3"/>
        <v>#N/A</v>
      </c>
      <c r="G95" s="6" t="e">
        <f t="shared" si="3"/>
        <v>#N/A</v>
      </c>
      <c r="H95" s="6" t="e">
        <f t="shared" si="3"/>
        <v>#N/A</v>
      </c>
      <c r="I95" s="6" t="e">
        <f t="shared" si="3"/>
        <v>#N/A</v>
      </c>
      <c r="J95" s="6" t="e">
        <f t="shared" si="3"/>
        <v>#N/A</v>
      </c>
      <c r="K95" s="6" t="e">
        <f t="shared" si="3"/>
        <v>#N/A</v>
      </c>
      <c r="L95" s="6" t="e">
        <f t="shared" si="3"/>
        <v>#N/A</v>
      </c>
      <c r="M95" s="6" t="e">
        <f t="shared" si="3"/>
        <v>#N/A</v>
      </c>
      <c r="N95" s="6" t="e">
        <f t="shared" si="3"/>
        <v>#N/A</v>
      </c>
    </row>
    <row r="96" spans="1:14" x14ac:dyDescent="0.4">
      <c r="A96" s="5" t="e">
        <f>IF(AND(COUNTIF(CHOOSE(N($A$40&gt;=$A$80)+1,$B$80:$N$80,$B$40:$N$40),"&lt;="&amp;-55)&gt;0,COUNTIF(CHOOSE(N($A$40&gt;=$A$80)+1,$B$81:$N$81,$B$41:$N$41),"&gt;="&amp;-55)&gt;0),-55,NA())</f>
        <v>#N/A</v>
      </c>
      <c r="B96" s="6" t="e">
        <f t="shared" si="3"/>
        <v>#N/A</v>
      </c>
      <c r="C96" s="6" t="e">
        <f t="shared" si="3"/>
        <v>#N/A</v>
      </c>
      <c r="D96" s="6" t="e">
        <f t="shared" si="3"/>
        <v>#N/A</v>
      </c>
      <c r="E96" s="6" t="e">
        <f t="shared" si="3"/>
        <v>#N/A</v>
      </c>
      <c r="F96" s="6" t="e">
        <f t="shared" si="3"/>
        <v>#N/A</v>
      </c>
      <c r="G96" s="6" t="e">
        <f t="shared" si="3"/>
        <v>#N/A</v>
      </c>
      <c r="H96" s="6" t="e">
        <f t="shared" si="3"/>
        <v>#N/A</v>
      </c>
      <c r="I96" s="6" t="e">
        <f t="shared" si="3"/>
        <v>#N/A</v>
      </c>
      <c r="J96" s="6" t="e">
        <f t="shared" si="3"/>
        <v>#N/A</v>
      </c>
      <c r="K96" s="6" t="e">
        <f t="shared" si="3"/>
        <v>#N/A</v>
      </c>
      <c r="L96" s="6" t="e">
        <f t="shared" si="3"/>
        <v>#N/A</v>
      </c>
      <c r="M96" s="6" t="e">
        <f t="shared" si="3"/>
        <v>#N/A</v>
      </c>
      <c r="N96" s="6" t="e">
        <f t="shared" si="3"/>
        <v>#N/A</v>
      </c>
    </row>
    <row r="97" spans="1:14" x14ac:dyDescent="0.4">
      <c r="A97" s="5" t="e">
        <f>IF(AND(COUNTIF(CHOOSE(N($A$40&gt;=$A$80)+1,$B$80:$N$80,$B$40:$N$40),"&lt;="&amp;-50)&gt;0,COUNTIF(CHOOSE(N($A$40&gt;=$A$80)+1,$B$81:$N$81,$B$41:$N$41),"&gt;="&amp;-50)&gt;0),-50,NA())</f>
        <v>#N/A</v>
      </c>
      <c r="B97" s="6" t="e">
        <f t="shared" si="3"/>
        <v>#N/A</v>
      </c>
      <c r="C97" s="6" t="e">
        <f t="shared" si="3"/>
        <v>#N/A</v>
      </c>
      <c r="D97" s="6" t="e">
        <f t="shared" si="3"/>
        <v>#N/A</v>
      </c>
      <c r="E97" s="6" t="e">
        <f t="shared" si="3"/>
        <v>#N/A</v>
      </c>
      <c r="F97" s="6" t="e">
        <f t="shared" si="3"/>
        <v>#N/A</v>
      </c>
      <c r="G97" s="6" t="e">
        <f t="shared" si="3"/>
        <v>#N/A</v>
      </c>
      <c r="H97" s="6" t="e">
        <f t="shared" si="3"/>
        <v>#N/A</v>
      </c>
      <c r="I97" s="6" t="e">
        <f t="shared" si="3"/>
        <v>#N/A</v>
      </c>
      <c r="J97" s="6" t="e">
        <f t="shared" si="3"/>
        <v>#N/A</v>
      </c>
      <c r="K97" s="6" t="e">
        <f t="shared" si="3"/>
        <v>#N/A</v>
      </c>
      <c r="L97" s="6" t="e">
        <f t="shared" si="3"/>
        <v>#N/A</v>
      </c>
      <c r="M97" s="6" t="e">
        <f t="shared" si="3"/>
        <v>#N/A</v>
      </c>
      <c r="N97" s="6" t="e">
        <f t="shared" si="3"/>
        <v>#N/A</v>
      </c>
    </row>
    <row r="98" spans="1:14" x14ac:dyDescent="0.4">
      <c r="A98" s="5" t="e">
        <f>IF(AND(COUNTIF(CHOOSE(N($A$40&gt;=$A$80)+1,$B$80:$N$80,$B$40:$N$40),"&lt;="&amp;-45)&gt;0,COUNTIF(CHOOSE(N($A$40&gt;=$A$80)+1,$B$81:$N$81,$B$41:$N$41),"&gt;="&amp;-45)&gt;0),-45,NA())</f>
        <v>#N/A</v>
      </c>
      <c r="B98" s="6" t="e">
        <f t="shared" si="3"/>
        <v>#N/A</v>
      </c>
      <c r="C98" s="6" t="e">
        <f t="shared" si="3"/>
        <v>#N/A</v>
      </c>
      <c r="D98" s="6" t="e">
        <f t="shared" si="3"/>
        <v>#N/A</v>
      </c>
      <c r="E98" s="6" t="e">
        <f t="shared" si="3"/>
        <v>#N/A</v>
      </c>
      <c r="F98" s="6" t="e">
        <f t="shared" si="3"/>
        <v>#N/A</v>
      </c>
      <c r="G98" s="6" t="e">
        <f t="shared" si="3"/>
        <v>#N/A</v>
      </c>
      <c r="H98" s="6" t="e">
        <f t="shared" si="3"/>
        <v>#N/A</v>
      </c>
      <c r="I98" s="6" t="e">
        <f t="shared" si="3"/>
        <v>#N/A</v>
      </c>
      <c r="J98" s="6" t="e">
        <f t="shared" si="3"/>
        <v>#N/A</v>
      </c>
      <c r="K98" s="6" t="e">
        <f t="shared" si="3"/>
        <v>#N/A</v>
      </c>
      <c r="L98" s="6" t="e">
        <f t="shared" si="3"/>
        <v>#N/A</v>
      </c>
      <c r="M98" s="6" t="e">
        <f t="shared" si="3"/>
        <v>#N/A</v>
      </c>
      <c r="N98" s="6" t="e">
        <f t="shared" si="3"/>
        <v>#N/A</v>
      </c>
    </row>
    <row r="99" spans="1:14" x14ac:dyDescent="0.4">
      <c r="A99" s="5" t="e">
        <f>IF(AND(COUNTIF(CHOOSE(N($A$40&gt;=$A$80)+1,$B$80:$N$80,$B$40:$N$40),"&lt;="&amp;-40)&gt;0,COUNTIF(CHOOSE(N($A$40&gt;=$A$80)+1,$B$81:$N$81,$B$41:$N$41),"&gt;="&amp;-40)&gt;0),-40,NA())</f>
        <v>#N/A</v>
      </c>
      <c r="B99" s="6" t="e">
        <f t="shared" si="3"/>
        <v>#N/A</v>
      </c>
      <c r="C99" s="6" t="e">
        <f t="shared" si="3"/>
        <v>#N/A</v>
      </c>
      <c r="D99" s="6" t="e">
        <f t="shared" si="3"/>
        <v>#N/A</v>
      </c>
      <c r="E99" s="6" t="e">
        <f t="shared" si="3"/>
        <v>#N/A</v>
      </c>
      <c r="F99" s="6" t="e">
        <f t="shared" si="3"/>
        <v>#N/A</v>
      </c>
      <c r="G99" s="6" t="e">
        <f t="shared" si="3"/>
        <v>#N/A</v>
      </c>
      <c r="H99" s="6" t="e">
        <f t="shared" si="3"/>
        <v>#N/A</v>
      </c>
      <c r="I99" s="6" t="e">
        <f t="shared" si="3"/>
        <v>#N/A</v>
      </c>
      <c r="J99" s="6" t="e">
        <f t="shared" si="3"/>
        <v>#N/A</v>
      </c>
      <c r="K99" s="6" t="e">
        <f t="shared" si="3"/>
        <v>#N/A</v>
      </c>
      <c r="L99" s="6" t="e">
        <f t="shared" si="3"/>
        <v>#N/A</v>
      </c>
      <c r="M99" s="6" t="e">
        <f t="shared" si="3"/>
        <v>#N/A</v>
      </c>
      <c r="N99" s="6" t="e">
        <f t="shared" si="3"/>
        <v>#N/A</v>
      </c>
    </row>
    <row r="100" spans="1:14" x14ac:dyDescent="0.4">
      <c r="A100" s="5" t="e">
        <f>IF(AND(COUNTIF(CHOOSE(N($A$40&gt;=$A$80)+1,$B$80:$N$80,$B$40:$N$40),"&lt;="&amp;-35)&gt;0,COUNTIF(CHOOSE(N($A$40&gt;=$A$80)+1,$B$81:$N$81,$B$41:$N$41),"&gt;="&amp;-35)&gt;0),-35,NA())</f>
        <v>#N/A</v>
      </c>
      <c r="B100" s="6" t="e">
        <f t="shared" si="3"/>
        <v>#N/A</v>
      </c>
      <c r="C100" s="6" t="e">
        <f t="shared" si="3"/>
        <v>#N/A</v>
      </c>
      <c r="D100" s="6" t="e">
        <f t="shared" si="3"/>
        <v>#N/A</v>
      </c>
      <c r="E100" s="6" t="e">
        <f t="shared" si="3"/>
        <v>#N/A</v>
      </c>
      <c r="F100" s="6" t="e">
        <f t="shared" si="3"/>
        <v>#N/A</v>
      </c>
      <c r="G100" s="6" t="e">
        <f t="shared" si="3"/>
        <v>#N/A</v>
      </c>
      <c r="H100" s="6" t="e">
        <f t="shared" si="3"/>
        <v>#N/A</v>
      </c>
      <c r="I100" s="6" t="e">
        <f t="shared" si="3"/>
        <v>#N/A</v>
      </c>
      <c r="J100" s="6" t="e">
        <f t="shared" si="3"/>
        <v>#N/A</v>
      </c>
      <c r="K100" s="6" t="e">
        <f t="shared" si="3"/>
        <v>#N/A</v>
      </c>
      <c r="L100" s="6" t="e">
        <f t="shared" si="3"/>
        <v>#N/A</v>
      </c>
      <c r="M100" s="6" t="e">
        <f t="shared" si="3"/>
        <v>#N/A</v>
      </c>
      <c r="N100" s="6" t="e">
        <f t="shared" si="3"/>
        <v>#N/A</v>
      </c>
    </row>
    <row r="101" spans="1:14" x14ac:dyDescent="0.4">
      <c r="A101" s="5" t="e">
        <f>IF(AND(COUNTIF(CHOOSE(N($A$40&gt;=$A$80)+1,$B$80:$N$80,$B$40:$N$40),"&lt;="&amp;-30)&gt;0,COUNTIF(CHOOSE(N($A$40&gt;=$A$80)+1,$B$81:$N$81,$B$41:$N$41),"&gt;="&amp;-30)&gt;0),-30,NA())</f>
        <v>#N/A</v>
      </c>
      <c r="B101" s="6" t="e">
        <f t="shared" si="3"/>
        <v>#N/A</v>
      </c>
      <c r="C101" s="6" t="e">
        <f t="shared" si="3"/>
        <v>#N/A</v>
      </c>
      <c r="D101" s="6" t="e">
        <f t="shared" si="3"/>
        <v>#N/A</v>
      </c>
      <c r="E101" s="6" t="e">
        <f t="shared" si="3"/>
        <v>#N/A</v>
      </c>
      <c r="F101" s="6" t="e">
        <f t="shared" si="3"/>
        <v>#N/A</v>
      </c>
      <c r="G101" s="6" t="e">
        <f t="shared" si="3"/>
        <v>#N/A</v>
      </c>
      <c r="H101" s="6" t="e">
        <f t="shared" si="3"/>
        <v>#N/A</v>
      </c>
      <c r="I101" s="6" t="e">
        <f t="shared" si="3"/>
        <v>#N/A</v>
      </c>
      <c r="J101" s="6" t="e">
        <f t="shared" si="3"/>
        <v>#N/A</v>
      </c>
      <c r="K101" s="6" t="e">
        <f t="shared" si="3"/>
        <v>#N/A</v>
      </c>
      <c r="L101" s="6" t="e">
        <f t="shared" si="3"/>
        <v>#N/A</v>
      </c>
      <c r="M101" s="6" t="e">
        <f t="shared" si="3"/>
        <v>#N/A</v>
      </c>
      <c r="N101" s="6" t="e">
        <f t="shared" si="3"/>
        <v>#N/A</v>
      </c>
    </row>
    <row r="102" spans="1:14" x14ac:dyDescent="0.4">
      <c r="A102" s="5" t="e">
        <f>IF(AND(COUNTIF(CHOOSE(N($A$40&gt;=$A$80)+1,$B$80:$N$80,$B$40:$N$40),"&lt;="&amp;-25)&gt;0,COUNTIF(CHOOSE(N($A$40&gt;=$A$80)+1,$B$81:$N$81,$B$41:$N$41),"&gt;="&amp;-25)&gt;0),-25,NA())</f>
        <v>#N/A</v>
      </c>
      <c r="B102" s="6" t="e">
        <f t="shared" si="3"/>
        <v>#N/A</v>
      </c>
      <c r="C102" s="6" t="e">
        <f t="shared" si="3"/>
        <v>#N/A</v>
      </c>
      <c r="D102" s="6" t="e">
        <f t="shared" si="3"/>
        <v>#N/A</v>
      </c>
      <c r="E102" s="6" t="e">
        <f t="shared" si="3"/>
        <v>#N/A</v>
      </c>
      <c r="F102" s="6" t="e">
        <f t="shared" si="3"/>
        <v>#N/A</v>
      </c>
      <c r="G102" s="6" t="e">
        <f t="shared" si="3"/>
        <v>#N/A</v>
      </c>
      <c r="H102" s="6" t="e">
        <f t="shared" si="3"/>
        <v>#N/A</v>
      </c>
      <c r="I102" s="6" t="e">
        <f t="shared" si="3"/>
        <v>#N/A</v>
      </c>
      <c r="J102" s="6" t="e">
        <f t="shared" si="3"/>
        <v>#N/A</v>
      </c>
      <c r="K102" s="6" t="e">
        <f t="shared" si="3"/>
        <v>#N/A</v>
      </c>
      <c r="L102" s="6" t="e">
        <f t="shared" si="3"/>
        <v>#N/A</v>
      </c>
      <c r="M102" s="6" t="e">
        <f t="shared" si="3"/>
        <v>#N/A</v>
      </c>
      <c r="N102" s="6" t="e">
        <f t="shared" si="3"/>
        <v>#N/A</v>
      </c>
    </row>
    <row r="103" spans="1:14" x14ac:dyDescent="0.4">
      <c r="A103" s="5" t="e">
        <f>IF(AND(COUNTIF(CHOOSE(N($A$40&gt;=$A$80)+1,$B$80:$N$80,$B$40:$N$40),"&lt;="&amp;-20)&gt;0,COUNTIF(CHOOSE(N($A$40&gt;=$A$80)+1,$B$81:$N$81,$B$41:$N$41),"&gt;="&amp;-20)&gt;0),-20,NA())</f>
        <v>#N/A</v>
      </c>
      <c r="B103" s="6" t="e">
        <f t="shared" si="3"/>
        <v>#N/A</v>
      </c>
      <c r="C103" s="6" t="e">
        <f t="shared" si="3"/>
        <v>#N/A</v>
      </c>
      <c r="D103" s="6" t="e">
        <f t="shared" si="3"/>
        <v>#N/A</v>
      </c>
      <c r="E103" s="6" t="e">
        <f t="shared" si="3"/>
        <v>#N/A</v>
      </c>
      <c r="F103" s="6" t="e">
        <f t="shared" si="3"/>
        <v>#N/A</v>
      </c>
      <c r="G103" s="6" t="e">
        <f t="shared" si="3"/>
        <v>#N/A</v>
      </c>
      <c r="H103" s="6" t="e">
        <f t="shared" si="3"/>
        <v>#N/A</v>
      </c>
      <c r="I103" s="6" t="e">
        <f t="shared" si="3"/>
        <v>#N/A</v>
      </c>
      <c r="J103" s="6" t="e">
        <f t="shared" si="3"/>
        <v>#N/A</v>
      </c>
      <c r="K103" s="6" t="e">
        <f t="shared" si="3"/>
        <v>#N/A</v>
      </c>
      <c r="L103" s="6" t="e">
        <f t="shared" si="3"/>
        <v>#N/A</v>
      </c>
      <c r="M103" s="6" t="e">
        <f t="shared" si="3"/>
        <v>#N/A</v>
      </c>
      <c r="N103" s="6" t="e">
        <f t="shared" si="3"/>
        <v>#N/A</v>
      </c>
    </row>
    <row r="104" spans="1:14" x14ac:dyDescent="0.4">
      <c r="A104" s="5" t="e">
        <f>IF(AND(COUNTIF(CHOOSE(N($A$40&gt;=$A$80)+1,$B$80:$N$80,$B$40:$N$40),"&lt;="&amp;-15)&gt;0,COUNTIF(CHOOSE(N($A$40&gt;=$A$80)+1,$B$81:$N$81,$B$41:$N$41),"&gt;="&amp;-15)&gt;0),-15,NA())</f>
        <v>#N/A</v>
      </c>
      <c r="B104" s="6" t="e">
        <f t="shared" si="3"/>
        <v>#N/A</v>
      </c>
      <c r="C104" s="6" t="e">
        <f t="shared" si="3"/>
        <v>#N/A</v>
      </c>
      <c r="D104" s="6" t="e">
        <f t="shared" si="3"/>
        <v>#N/A</v>
      </c>
      <c r="E104" s="6" t="e">
        <f t="shared" si="3"/>
        <v>#N/A</v>
      </c>
      <c r="F104" s="6" t="e">
        <f t="shared" si="3"/>
        <v>#N/A</v>
      </c>
      <c r="G104" s="6" t="e">
        <f t="shared" si="3"/>
        <v>#N/A</v>
      </c>
      <c r="H104" s="6" t="e">
        <f t="shared" si="3"/>
        <v>#N/A</v>
      </c>
      <c r="I104" s="6" t="e">
        <f t="shared" si="3"/>
        <v>#N/A</v>
      </c>
      <c r="J104" s="6" t="e">
        <f t="shared" si="3"/>
        <v>#N/A</v>
      </c>
      <c r="K104" s="6" t="e">
        <f t="shared" si="3"/>
        <v>#N/A</v>
      </c>
      <c r="L104" s="6" t="e">
        <f t="shared" si="3"/>
        <v>#N/A</v>
      </c>
      <c r="M104" s="6" t="e">
        <f t="shared" si="3"/>
        <v>#N/A</v>
      </c>
      <c r="N104" s="6" t="e">
        <f t="shared" si="3"/>
        <v>#N/A</v>
      </c>
    </row>
    <row r="105" spans="1:14" x14ac:dyDescent="0.4">
      <c r="A105" s="5" t="e">
        <f>IF(AND(COUNTIF(CHOOSE(N($A$40&gt;=$A$80)+1,$B$80:$N$80,$B$40:$N$40),"&lt;="&amp;-10)&gt;0,COUNTIF(CHOOSE(N($A$40&gt;=$A$80)+1,$B$81:$N$81,$B$41:$N$41),"&gt;="&amp;-10)&gt;0),-10,NA())</f>
        <v>#N/A</v>
      </c>
      <c r="B105" s="6" t="e">
        <f t="shared" ref="B105:N120" si="4">IF(ISNA(B59),NA(),IF(AND($A105&gt;=CHOOSE(N($A$40&gt;=$A$80)+1,B$80,B$40),$A105&lt;=CHOOSE(N($A$40&gt;=$A$80)+1,B$81,B$41)),B59,NA()))</f>
        <v>#N/A</v>
      </c>
      <c r="C105" s="6" t="e">
        <f t="shared" si="4"/>
        <v>#N/A</v>
      </c>
      <c r="D105" s="6" t="e">
        <f t="shared" si="4"/>
        <v>#N/A</v>
      </c>
      <c r="E105" s="6" t="e">
        <f t="shared" si="4"/>
        <v>#N/A</v>
      </c>
      <c r="F105" s="6" t="e">
        <f t="shared" si="4"/>
        <v>#N/A</v>
      </c>
      <c r="G105" s="6" t="e">
        <f t="shared" si="4"/>
        <v>#N/A</v>
      </c>
      <c r="H105" s="6" t="e">
        <f t="shared" si="4"/>
        <v>#N/A</v>
      </c>
      <c r="I105" s="6" t="e">
        <f t="shared" si="4"/>
        <v>#N/A</v>
      </c>
      <c r="J105" s="6" t="e">
        <f t="shared" si="4"/>
        <v>#N/A</v>
      </c>
      <c r="K105" s="6" t="e">
        <f t="shared" si="4"/>
        <v>#N/A</v>
      </c>
      <c r="L105" s="6" t="e">
        <f t="shared" si="4"/>
        <v>#N/A</v>
      </c>
      <c r="M105" s="6" t="e">
        <f t="shared" si="4"/>
        <v>#N/A</v>
      </c>
      <c r="N105" s="6" t="e">
        <f t="shared" si="4"/>
        <v>#N/A</v>
      </c>
    </row>
    <row r="106" spans="1:14" x14ac:dyDescent="0.4">
      <c r="A106" s="5" t="e">
        <f>IF(AND(COUNTIF(CHOOSE(N($A$40&gt;=$A$80)+1,$B$80:$N$80,$B$40:$N$40),"&lt;="&amp;-5)&gt;0,COUNTIF(CHOOSE(N($A$40&gt;=$A$80)+1,$B$81:$N$81,$B$41:$N$41),"&gt;="&amp;-5)&gt;0),-5,NA())</f>
        <v>#N/A</v>
      </c>
      <c r="B106" s="6" t="e">
        <f t="shared" si="4"/>
        <v>#N/A</v>
      </c>
      <c r="C106" s="6" t="e">
        <f t="shared" si="4"/>
        <v>#N/A</v>
      </c>
      <c r="D106" s="6" t="e">
        <f t="shared" si="4"/>
        <v>#N/A</v>
      </c>
      <c r="E106" s="6" t="e">
        <f t="shared" si="4"/>
        <v>#N/A</v>
      </c>
      <c r="F106" s="6" t="e">
        <f t="shared" si="4"/>
        <v>#N/A</v>
      </c>
      <c r="G106" s="6" t="e">
        <f t="shared" si="4"/>
        <v>#N/A</v>
      </c>
      <c r="H106" s="6" t="e">
        <f t="shared" si="4"/>
        <v>#N/A</v>
      </c>
      <c r="I106" s="6" t="e">
        <f t="shared" si="4"/>
        <v>#N/A</v>
      </c>
      <c r="J106" s="6" t="e">
        <f t="shared" si="4"/>
        <v>#N/A</v>
      </c>
      <c r="K106" s="6" t="e">
        <f t="shared" si="4"/>
        <v>#N/A</v>
      </c>
      <c r="L106" s="6" t="e">
        <f t="shared" si="4"/>
        <v>#N/A</v>
      </c>
      <c r="M106" s="6" t="e">
        <f t="shared" si="4"/>
        <v>#N/A</v>
      </c>
      <c r="N106" s="6" t="e">
        <f t="shared" si="4"/>
        <v>#N/A</v>
      </c>
    </row>
    <row r="107" spans="1:14" x14ac:dyDescent="0.4">
      <c r="A107" s="5" t="e">
        <f>IF(AND(COUNTIF(CHOOSE(N($A$40&gt;=$A$80)+1,$B$80:$N$80,$B$40:$N$40),"&lt;="&amp;0)&gt;0,COUNTIF(CHOOSE(N($A$40&gt;=$A$80)+1,$B$81:$N$81,$B$41:$N$41),"&gt;="&amp;0)&gt;0),0,NA())</f>
        <v>#N/A</v>
      </c>
      <c r="B107" s="6" t="e">
        <f t="shared" si="4"/>
        <v>#N/A</v>
      </c>
      <c r="C107" s="6" t="e">
        <f t="shared" si="4"/>
        <v>#N/A</v>
      </c>
      <c r="D107" s="6" t="e">
        <f t="shared" si="4"/>
        <v>#N/A</v>
      </c>
      <c r="E107" s="6" t="e">
        <f t="shared" si="4"/>
        <v>#N/A</v>
      </c>
      <c r="F107" s="6" t="e">
        <f t="shared" si="4"/>
        <v>#N/A</v>
      </c>
      <c r="G107" s="6" t="e">
        <f t="shared" si="4"/>
        <v>#N/A</v>
      </c>
      <c r="H107" s="6" t="e">
        <f t="shared" si="4"/>
        <v>#N/A</v>
      </c>
      <c r="I107" s="6" t="e">
        <f t="shared" si="4"/>
        <v>#N/A</v>
      </c>
      <c r="J107" s="6" t="e">
        <f t="shared" si="4"/>
        <v>#N/A</v>
      </c>
      <c r="K107" s="6" t="e">
        <f t="shared" si="4"/>
        <v>#N/A</v>
      </c>
      <c r="L107" s="6" t="e">
        <f t="shared" si="4"/>
        <v>#N/A</v>
      </c>
      <c r="M107" s="6" t="e">
        <f t="shared" si="4"/>
        <v>#N/A</v>
      </c>
      <c r="N107" s="6" t="e">
        <f t="shared" si="4"/>
        <v>#N/A</v>
      </c>
    </row>
    <row r="108" spans="1:14" x14ac:dyDescent="0.4">
      <c r="A108" s="5" t="e">
        <f>IF(AND(COUNTIF(CHOOSE(N($A$40&gt;=$A$80)+1,$B$80:$N$80,$B$40:$N$40),"&lt;="&amp;5)&gt;0,COUNTIF(CHOOSE(N($A$40&gt;=$A$80)+1,$B$81:$N$81,$B$41:$N$41),"&gt;="&amp;5)&gt;0),5,NA())</f>
        <v>#N/A</v>
      </c>
      <c r="B108" s="6" t="e">
        <f t="shared" si="4"/>
        <v>#N/A</v>
      </c>
      <c r="C108" s="6" t="e">
        <f t="shared" si="4"/>
        <v>#N/A</v>
      </c>
      <c r="D108" s="6" t="e">
        <f t="shared" si="4"/>
        <v>#N/A</v>
      </c>
      <c r="E108" s="6" t="e">
        <f t="shared" si="4"/>
        <v>#N/A</v>
      </c>
      <c r="F108" s="6" t="e">
        <f t="shared" si="4"/>
        <v>#N/A</v>
      </c>
      <c r="G108" s="6" t="e">
        <f t="shared" si="4"/>
        <v>#N/A</v>
      </c>
      <c r="H108" s="6" t="e">
        <f t="shared" si="4"/>
        <v>#N/A</v>
      </c>
      <c r="I108" s="6" t="e">
        <f t="shared" si="4"/>
        <v>#N/A</v>
      </c>
      <c r="J108" s="6" t="e">
        <f t="shared" si="4"/>
        <v>#N/A</v>
      </c>
      <c r="K108" s="6" t="e">
        <f t="shared" si="4"/>
        <v>#N/A</v>
      </c>
      <c r="L108" s="6" t="e">
        <f t="shared" si="4"/>
        <v>#N/A</v>
      </c>
      <c r="M108" s="6" t="e">
        <f t="shared" si="4"/>
        <v>#N/A</v>
      </c>
      <c r="N108" s="6" t="e">
        <f t="shared" si="4"/>
        <v>#N/A</v>
      </c>
    </row>
    <row r="109" spans="1:14" x14ac:dyDescent="0.4">
      <c r="A109" s="5" t="e">
        <f>IF(AND(COUNTIF(CHOOSE(N($A$40&gt;=$A$80)+1,$B$80:$N$80,$B$40:$N$40),"&lt;="&amp;10)&gt;0,COUNTIF(CHOOSE(N($A$40&gt;=$A$80)+1,$B$81:$N$81,$B$41:$N$41),"&gt;="&amp;10)&gt;0),10,NA())</f>
        <v>#N/A</v>
      </c>
      <c r="B109" s="6" t="e">
        <f t="shared" si="4"/>
        <v>#N/A</v>
      </c>
      <c r="C109" s="6" t="e">
        <f t="shared" si="4"/>
        <v>#N/A</v>
      </c>
      <c r="D109" s="6" t="e">
        <f t="shared" si="4"/>
        <v>#N/A</v>
      </c>
      <c r="E109" s="6" t="e">
        <f t="shared" si="4"/>
        <v>#N/A</v>
      </c>
      <c r="F109" s="6" t="e">
        <f t="shared" si="4"/>
        <v>#N/A</v>
      </c>
      <c r="G109" s="6" t="e">
        <f t="shared" si="4"/>
        <v>#N/A</v>
      </c>
      <c r="H109" s="6" t="e">
        <f t="shared" si="4"/>
        <v>#N/A</v>
      </c>
      <c r="I109" s="6" t="e">
        <f t="shared" si="4"/>
        <v>#N/A</v>
      </c>
      <c r="J109" s="6" t="e">
        <f t="shared" si="4"/>
        <v>#N/A</v>
      </c>
      <c r="K109" s="6" t="e">
        <f t="shared" si="4"/>
        <v>#N/A</v>
      </c>
      <c r="L109" s="6" t="e">
        <f t="shared" si="4"/>
        <v>#N/A</v>
      </c>
      <c r="M109" s="6" t="e">
        <f t="shared" si="4"/>
        <v>#N/A</v>
      </c>
      <c r="N109" s="6" t="e">
        <f t="shared" si="4"/>
        <v>#N/A</v>
      </c>
    </row>
    <row r="110" spans="1:14" x14ac:dyDescent="0.4">
      <c r="A110" s="5" t="e">
        <f>IF(AND(COUNTIF(CHOOSE(N($A$40&gt;=$A$80)+1,$B$80:$N$80,$B$40:$N$40),"&lt;="&amp;15)&gt;0,COUNTIF(CHOOSE(N($A$40&gt;=$A$80)+1,$B$81:$N$81,$B$41:$N$41),"&gt;="&amp;15)&gt;0),15,NA())</f>
        <v>#N/A</v>
      </c>
      <c r="B110" s="6" t="e">
        <f t="shared" si="4"/>
        <v>#N/A</v>
      </c>
      <c r="C110" s="6" t="e">
        <f t="shared" si="4"/>
        <v>#N/A</v>
      </c>
      <c r="D110" s="6" t="e">
        <f t="shared" si="4"/>
        <v>#N/A</v>
      </c>
      <c r="E110" s="6" t="e">
        <f t="shared" si="4"/>
        <v>#N/A</v>
      </c>
      <c r="F110" s="6" t="e">
        <f t="shared" si="4"/>
        <v>#N/A</v>
      </c>
      <c r="G110" s="6" t="e">
        <f t="shared" si="4"/>
        <v>#N/A</v>
      </c>
      <c r="H110" s="6" t="e">
        <f t="shared" si="4"/>
        <v>#N/A</v>
      </c>
      <c r="I110" s="6" t="e">
        <f t="shared" si="4"/>
        <v>#N/A</v>
      </c>
      <c r="J110" s="6" t="e">
        <f t="shared" si="4"/>
        <v>#N/A</v>
      </c>
      <c r="K110" s="6" t="e">
        <f t="shared" si="4"/>
        <v>#N/A</v>
      </c>
      <c r="L110" s="6" t="e">
        <f t="shared" si="4"/>
        <v>#N/A</v>
      </c>
      <c r="M110" s="6" t="e">
        <f t="shared" si="4"/>
        <v>#N/A</v>
      </c>
      <c r="N110" s="6" t="e">
        <f t="shared" si="4"/>
        <v>#N/A</v>
      </c>
    </row>
    <row r="111" spans="1:14" x14ac:dyDescent="0.4">
      <c r="A111" s="5" t="e">
        <f>IF(AND(COUNTIF(CHOOSE(N($A$40&gt;=$A$80)+1,$B$80:$N$80,$B$40:$N$40),"&lt;="&amp;20)&gt;0,COUNTIF(CHOOSE(N($A$40&gt;=$A$80)+1,$B$81:$N$81,$B$41:$N$41),"&gt;="&amp;20)&gt;0),20,NA())</f>
        <v>#N/A</v>
      </c>
      <c r="B111" s="6" t="e">
        <f t="shared" si="4"/>
        <v>#N/A</v>
      </c>
      <c r="C111" s="6" t="e">
        <f t="shared" si="4"/>
        <v>#N/A</v>
      </c>
      <c r="D111" s="6" t="e">
        <f t="shared" si="4"/>
        <v>#N/A</v>
      </c>
      <c r="E111" s="6" t="e">
        <f t="shared" si="4"/>
        <v>#N/A</v>
      </c>
      <c r="F111" s="6" t="e">
        <f t="shared" si="4"/>
        <v>#N/A</v>
      </c>
      <c r="G111" s="6" t="e">
        <f t="shared" si="4"/>
        <v>#N/A</v>
      </c>
      <c r="H111" s="6" t="e">
        <f t="shared" si="4"/>
        <v>#N/A</v>
      </c>
      <c r="I111" s="6" t="e">
        <f t="shared" si="4"/>
        <v>#N/A</v>
      </c>
      <c r="J111" s="6" t="e">
        <f t="shared" si="4"/>
        <v>#N/A</v>
      </c>
      <c r="K111" s="6" t="e">
        <f t="shared" si="4"/>
        <v>#N/A</v>
      </c>
      <c r="L111" s="6" t="e">
        <f t="shared" si="4"/>
        <v>#N/A</v>
      </c>
      <c r="M111" s="6" t="e">
        <f t="shared" si="4"/>
        <v>#N/A</v>
      </c>
      <c r="N111" s="6" t="e">
        <f t="shared" si="4"/>
        <v>#N/A</v>
      </c>
    </row>
    <row r="112" spans="1:14" x14ac:dyDescent="0.4">
      <c r="A112" s="5" t="e">
        <f>IF(AND(COUNTIF(CHOOSE(N($A$40&gt;=$A$80)+1,$B$80:$N$80,$B$40:$N$40),"&lt;="&amp;25)&gt;0,COUNTIF(CHOOSE(N($A$40&gt;=$A$80)+1,$B$81:$N$81,$B$41:$N$41),"&gt;="&amp;25)&gt;0),25,NA())</f>
        <v>#N/A</v>
      </c>
      <c r="B112" s="6" t="e">
        <f t="shared" si="4"/>
        <v>#N/A</v>
      </c>
      <c r="C112" s="6" t="e">
        <f t="shared" si="4"/>
        <v>#N/A</v>
      </c>
      <c r="D112" s="6" t="e">
        <f t="shared" si="4"/>
        <v>#N/A</v>
      </c>
      <c r="E112" s="6" t="e">
        <f t="shared" si="4"/>
        <v>#N/A</v>
      </c>
      <c r="F112" s="6" t="e">
        <f t="shared" si="4"/>
        <v>#N/A</v>
      </c>
      <c r="G112" s="6" t="e">
        <f t="shared" si="4"/>
        <v>#N/A</v>
      </c>
      <c r="H112" s="6" t="e">
        <f t="shared" si="4"/>
        <v>#N/A</v>
      </c>
      <c r="I112" s="6" t="e">
        <f t="shared" si="4"/>
        <v>#N/A</v>
      </c>
      <c r="J112" s="6" t="e">
        <f t="shared" si="4"/>
        <v>#N/A</v>
      </c>
      <c r="K112" s="6" t="e">
        <f t="shared" si="4"/>
        <v>#N/A</v>
      </c>
      <c r="L112" s="6" t="e">
        <f t="shared" si="4"/>
        <v>#N/A</v>
      </c>
      <c r="M112" s="6" t="e">
        <f t="shared" si="4"/>
        <v>#N/A</v>
      </c>
      <c r="N112" s="6" t="e">
        <f t="shared" si="4"/>
        <v>#N/A</v>
      </c>
    </row>
    <row r="113" spans="1:14" x14ac:dyDescent="0.4">
      <c r="A113" s="5" t="e">
        <f>IF(AND(COUNTIF(CHOOSE(N($A$40&gt;=$A$80)+1,$B$80:$N$80,$B$40:$N$40),"&lt;="&amp;30)&gt;0,COUNTIF(CHOOSE(N($A$40&gt;=$A$80)+1,$B$81:$N$81,$B$41:$N$41),"&gt;="&amp;30)&gt;0),30,NA())</f>
        <v>#N/A</v>
      </c>
      <c r="B113" s="6" t="e">
        <f t="shared" si="4"/>
        <v>#N/A</v>
      </c>
      <c r="C113" s="6" t="e">
        <f t="shared" si="4"/>
        <v>#N/A</v>
      </c>
      <c r="D113" s="6" t="e">
        <f t="shared" si="4"/>
        <v>#N/A</v>
      </c>
      <c r="E113" s="6" t="e">
        <f t="shared" si="4"/>
        <v>#N/A</v>
      </c>
      <c r="F113" s="6" t="e">
        <f t="shared" si="4"/>
        <v>#N/A</v>
      </c>
      <c r="G113" s="6" t="e">
        <f t="shared" si="4"/>
        <v>#N/A</v>
      </c>
      <c r="H113" s="6" t="e">
        <f t="shared" si="4"/>
        <v>#N/A</v>
      </c>
      <c r="I113" s="6" t="e">
        <f t="shared" si="4"/>
        <v>#N/A</v>
      </c>
      <c r="J113" s="6" t="e">
        <f t="shared" si="4"/>
        <v>#N/A</v>
      </c>
      <c r="K113" s="6" t="e">
        <f t="shared" si="4"/>
        <v>#N/A</v>
      </c>
      <c r="L113" s="6" t="e">
        <f t="shared" si="4"/>
        <v>#N/A</v>
      </c>
      <c r="M113" s="6" t="e">
        <f t="shared" si="4"/>
        <v>#N/A</v>
      </c>
      <c r="N113" s="6" t="e">
        <f t="shared" si="4"/>
        <v>#N/A</v>
      </c>
    </row>
    <row r="114" spans="1:14" x14ac:dyDescent="0.4">
      <c r="A114" s="5" t="e">
        <f>IF(AND(COUNTIF(CHOOSE(N($A$40&gt;=$A$80)+1,$B$80:$N$80,$B$40:$N$40),"&lt;="&amp;35)&gt;0,COUNTIF(CHOOSE(N($A$40&gt;=$A$80)+1,$B$81:$N$81,$B$41:$N$41),"&gt;="&amp;35)&gt;0),35,NA())</f>
        <v>#N/A</v>
      </c>
      <c r="B114" s="6" t="e">
        <f t="shared" si="4"/>
        <v>#N/A</v>
      </c>
      <c r="C114" s="6" t="e">
        <f t="shared" si="4"/>
        <v>#N/A</v>
      </c>
      <c r="D114" s="6" t="e">
        <f t="shared" si="4"/>
        <v>#N/A</v>
      </c>
      <c r="E114" s="6" t="e">
        <f t="shared" si="4"/>
        <v>#N/A</v>
      </c>
      <c r="F114" s="6" t="e">
        <f t="shared" si="4"/>
        <v>#N/A</v>
      </c>
      <c r="G114" s="6" t="e">
        <f t="shared" si="4"/>
        <v>#N/A</v>
      </c>
      <c r="H114" s="6" t="e">
        <f t="shared" si="4"/>
        <v>#N/A</v>
      </c>
      <c r="I114" s="6" t="e">
        <f t="shared" si="4"/>
        <v>#N/A</v>
      </c>
      <c r="J114" s="6" t="e">
        <f t="shared" si="4"/>
        <v>#N/A</v>
      </c>
      <c r="K114" s="6" t="e">
        <f t="shared" si="4"/>
        <v>#N/A</v>
      </c>
      <c r="L114" s="6" t="e">
        <f t="shared" si="4"/>
        <v>#N/A</v>
      </c>
      <c r="M114" s="6" t="e">
        <f t="shared" si="4"/>
        <v>#N/A</v>
      </c>
      <c r="N114" s="6" t="e">
        <f t="shared" si="4"/>
        <v>#N/A</v>
      </c>
    </row>
    <row r="115" spans="1:14" x14ac:dyDescent="0.4">
      <c r="A115" s="5" t="e">
        <f>IF(AND(COUNTIF(CHOOSE(N($A$40&gt;=$A$80)+1,$B$80:$N$80,$B$40:$N$40),"&lt;="&amp;40)&gt;0,COUNTIF(CHOOSE(N($A$40&gt;=$A$80)+1,$B$81:$N$81,$B$41:$N$41),"&gt;="&amp;40)&gt;0),40,NA())</f>
        <v>#N/A</v>
      </c>
      <c r="B115" s="6" t="e">
        <f t="shared" si="4"/>
        <v>#N/A</v>
      </c>
      <c r="C115" s="6" t="e">
        <f t="shared" si="4"/>
        <v>#N/A</v>
      </c>
      <c r="D115" s="6" t="e">
        <f t="shared" si="4"/>
        <v>#N/A</v>
      </c>
      <c r="E115" s="6" t="e">
        <f t="shared" si="4"/>
        <v>#N/A</v>
      </c>
      <c r="F115" s="6" t="e">
        <f t="shared" si="4"/>
        <v>#N/A</v>
      </c>
      <c r="G115" s="6" t="e">
        <f t="shared" si="4"/>
        <v>#N/A</v>
      </c>
      <c r="H115" s="6" t="e">
        <f t="shared" si="4"/>
        <v>#N/A</v>
      </c>
      <c r="I115" s="6" t="e">
        <f t="shared" si="4"/>
        <v>#N/A</v>
      </c>
      <c r="J115" s="6" t="e">
        <f t="shared" si="4"/>
        <v>#N/A</v>
      </c>
      <c r="K115" s="6" t="e">
        <f t="shared" si="4"/>
        <v>#N/A</v>
      </c>
      <c r="L115" s="6" t="e">
        <f t="shared" si="4"/>
        <v>#N/A</v>
      </c>
      <c r="M115" s="6" t="e">
        <f t="shared" si="4"/>
        <v>#N/A</v>
      </c>
      <c r="N115" s="6" t="e">
        <f t="shared" si="4"/>
        <v>#N/A</v>
      </c>
    </row>
    <row r="116" spans="1:14" x14ac:dyDescent="0.4">
      <c r="A116" s="5" t="e">
        <f>IF(AND(COUNTIF(CHOOSE(N($A$40&gt;=$A$80)+1,$B$80:$N$80,$B$40:$N$40),"&lt;="&amp;45)&gt;0,COUNTIF(CHOOSE(N($A$40&gt;=$A$80)+1,$B$81:$N$81,$B$41:$N$41),"&gt;="&amp;45)&gt;0),45,NA())</f>
        <v>#N/A</v>
      </c>
      <c r="B116" s="6" t="e">
        <f t="shared" si="4"/>
        <v>#N/A</v>
      </c>
      <c r="C116" s="6" t="e">
        <f t="shared" si="4"/>
        <v>#N/A</v>
      </c>
      <c r="D116" s="6" t="e">
        <f t="shared" si="4"/>
        <v>#N/A</v>
      </c>
      <c r="E116" s="6" t="e">
        <f t="shared" si="4"/>
        <v>#N/A</v>
      </c>
      <c r="F116" s="6" t="e">
        <f t="shared" si="4"/>
        <v>#N/A</v>
      </c>
      <c r="G116" s="6" t="e">
        <f t="shared" si="4"/>
        <v>#N/A</v>
      </c>
      <c r="H116" s="6" t="e">
        <f t="shared" si="4"/>
        <v>#N/A</v>
      </c>
      <c r="I116" s="6" t="e">
        <f t="shared" si="4"/>
        <v>#N/A</v>
      </c>
      <c r="J116" s="6" t="e">
        <f t="shared" si="4"/>
        <v>#N/A</v>
      </c>
      <c r="K116" s="6" t="e">
        <f t="shared" si="4"/>
        <v>#N/A</v>
      </c>
      <c r="L116" s="6" t="e">
        <f t="shared" si="4"/>
        <v>#N/A</v>
      </c>
      <c r="M116" s="6" t="e">
        <f t="shared" si="4"/>
        <v>#N/A</v>
      </c>
      <c r="N116" s="6" t="e">
        <f t="shared" si="4"/>
        <v>#N/A</v>
      </c>
    </row>
    <row r="117" spans="1:14" x14ac:dyDescent="0.4">
      <c r="A117" s="5" t="e">
        <f>IF(AND(COUNTIF(CHOOSE(N($A$40&gt;=$A$80)+1,$B$80:$N$80,$B$40:$N$40),"&lt;="&amp;50)&gt;0,COUNTIF(CHOOSE(N($A$40&gt;=$A$80)+1,$B$81:$N$81,$B$41:$N$41),"&gt;="&amp;50)&gt;0),50,NA())</f>
        <v>#N/A</v>
      </c>
      <c r="B117" s="6" t="e">
        <f t="shared" si="4"/>
        <v>#N/A</v>
      </c>
      <c r="C117" s="6" t="e">
        <f t="shared" si="4"/>
        <v>#N/A</v>
      </c>
      <c r="D117" s="6" t="e">
        <f t="shared" si="4"/>
        <v>#N/A</v>
      </c>
      <c r="E117" s="6" t="e">
        <f t="shared" si="4"/>
        <v>#N/A</v>
      </c>
      <c r="F117" s="6" t="e">
        <f t="shared" si="4"/>
        <v>#N/A</v>
      </c>
      <c r="G117" s="6" t="e">
        <f t="shared" si="4"/>
        <v>#N/A</v>
      </c>
      <c r="H117" s="6" t="e">
        <f t="shared" si="4"/>
        <v>#N/A</v>
      </c>
      <c r="I117" s="6" t="e">
        <f t="shared" si="4"/>
        <v>#N/A</v>
      </c>
      <c r="J117" s="6" t="e">
        <f t="shared" si="4"/>
        <v>#N/A</v>
      </c>
      <c r="K117" s="6" t="e">
        <f t="shared" si="4"/>
        <v>#N/A</v>
      </c>
      <c r="L117" s="6" t="e">
        <f t="shared" si="4"/>
        <v>#N/A</v>
      </c>
      <c r="M117" s="6" t="e">
        <f t="shared" si="4"/>
        <v>#N/A</v>
      </c>
      <c r="N117" s="6" t="e">
        <f t="shared" si="4"/>
        <v>#N/A</v>
      </c>
    </row>
    <row r="118" spans="1:14" x14ac:dyDescent="0.4">
      <c r="A118" s="5" t="e">
        <f>IF(AND(COUNTIF(CHOOSE(N($A$40&gt;=$A$80)+1,$B$80:$N$80,$B$40:$N$40),"&lt;="&amp;55)&gt;0,COUNTIF(CHOOSE(N($A$40&gt;=$A$80)+1,$B$81:$N$81,$B$41:$N$41),"&gt;="&amp;55)&gt;0),55,NA())</f>
        <v>#N/A</v>
      </c>
      <c r="B118" s="6" t="e">
        <f t="shared" si="4"/>
        <v>#N/A</v>
      </c>
      <c r="C118" s="6" t="e">
        <f t="shared" si="4"/>
        <v>#N/A</v>
      </c>
      <c r="D118" s="6" t="e">
        <f t="shared" si="4"/>
        <v>#N/A</v>
      </c>
      <c r="E118" s="6" t="e">
        <f t="shared" si="4"/>
        <v>#N/A</v>
      </c>
      <c r="F118" s="6" t="e">
        <f t="shared" si="4"/>
        <v>#N/A</v>
      </c>
      <c r="G118" s="6" t="e">
        <f t="shared" si="4"/>
        <v>#N/A</v>
      </c>
      <c r="H118" s="6" t="e">
        <f t="shared" si="4"/>
        <v>#N/A</v>
      </c>
      <c r="I118" s="6" t="e">
        <f t="shared" si="4"/>
        <v>#N/A</v>
      </c>
      <c r="J118" s="6" t="e">
        <f t="shared" si="4"/>
        <v>#N/A</v>
      </c>
      <c r="K118" s="6" t="e">
        <f t="shared" si="4"/>
        <v>#N/A</v>
      </c>
      <c r="L118" s="6" t="e">
        <f t="shared" si="4"/>
        <v>#N/A</v>
      </c>
      <c r="M118" s="6" t="e">
        <f t="shared" si="4"/>
        <v>#N/A</v>
      </c>
      <c r="N118" s="6" t="e">
        <f t="shared" si="4"/>
        <v>#N/A</v>
      </c>
    </row>
    <row r="119" spans="1:14" x14ac:dyDescent="0.4">
      <c r="A119" s="5" t="e">
        <f>IF(AND(COUNTIF(CHOOSE(N($A$40&gt;=$A$80)+1,$B$80:$N$80,$B$40:$N$40),"&lt;="&amp;60)&gt;0,COUNTIF(CHOOSE(N($A$40&gt;=$A$80)+1,$B$81:$N$81,$B$41:$N$41),"&gt;="&amp;60)&gt;0),60,NA())</f>
        <v>#N/A</v>
      </c>
      <c r="B119" s="6" t="e">
        <f t="shared" si="4"/>
        <v>#N/A</v>
      </c>
      <c r="C119" s="6" t="e">
        <f t="shared" si="4"/>
        <v>#N/A</v>
      </c>
      <c r="D119" s="6" t="e">
        <f t="shared" si="4"/>
        <v>#N/A</v>
      </c>
      <c r="E119" s="6" t="e">
        <f t="shared" si="4"/>
        <v>#N/A</v>
      </c>
      <c r="F119" s="6" t="e">
        <f t="shared" si="4"/>
        <v>#N/A</v>
      </c>
      <c r="G119" s="6" t="e">
        <f t="shared" si="4"/>
        <v>#N/A</v>
      </c>
      <c r="H119" s="6" t="e">
        <f t="shared" si="4"/>
        <v>#N/A</v>
      </c>
      <c r="I119" s="6" t="e">
        <f t="shared" si="4"/>
        <v>#N/A</v>
      </c>
      <c r="J119" s="6" t="e">
        <f t="shared" si="4"/>
        <v>#N/A</v>
      </c>
      <c r="K119" s="6" t="e">
        <f t="shared" si="4"/>
        <v>#N/A</v>
      </c>
      <c r="L119" s="6" t="e">
        <f t="shared" si="4"/>
        <v>#N/A</v>
      </c>
      <c r="M119" s="6" t="e">
        <f t="shared" si="4"/>
        <v>#N/A</v>
      </c>
      <c r="N119" s="6" t="e">
        <f t="shared" si="4"/>
        <v>#N/A</v>
      </c>
    </row>
    <row r="120" spans="1:14" x14ac:dyDescent="0.4">
      <c r="A120" s="5" t="e">
        <f>IF(AND(COUNTIF(CHOOSE(N($A$40&gt;=$A$80)+1,$B$80:$N$80,$B$40:$N$40),"&lt;="&amp;65)&gt;0,COUNTIF(CHOOSE(N($A$40&gt;=$A$80)+1,$B$81:$N$81,$B$41:$N$41),"&gt;="&amp;65)&gt;0),65,NA())</f>
        <v>#N/A</v>
      </c>
      <c r="B120" s="6" t="e">
        <f t="shared" si="4"/>
        <v>#N/A</v>
      </c>
      <c r="C120" s="6" t="e">
        <f t="shared" si="4"/>
        <v>#N/A</v>
      </c>
      <c r="D120" s="6" t="e">
        <f t="shared" si="4"/>
        <v>#N/A</v>
      </c>
      <c r="E120" s="6" t="e">
        <f t="shared" si="4"/>
        <v>#N/A</v>
      </c>
      <c r="F120" s="6" t="e">
        <f t="shared" si="4"/>
        <v>#N/A</v>
      </c>
      <c r="G120" s="6" t="e">
        <f t="shared" si="4"/>
        <v>#N/A</v>
      </c>
      <c r="H120" s="6" t="e">
        <f t="shared" si="4"/>
        <v>#N/A</v>
      </c>
      <c r="I120" s="6" t="e">
        <f t="shared" si="4"/>
        <v>#N/A</v>
      </c>
      <c r="J120" s="6" t="e">
        <f t="shared" si="4"/>
        <v>#N/A</v>
      </c>
      <c r="K120" s="6" t="e">
        <f t="shared" si="4"/>
        <v>#N/A</v>
      </c>
      <c r="L120" s="6" t="e">
        <f t="shared" si="4"/>
        <v>#N/A</v>
      </c>
      <c r="M120" s="6" t="e">
        <f t="shared" si="4"/>
        <v>#N/A</v>
      </c>
      <c r="N120" s="6" t="e">
        <f t="shared" si="4"/>
        <v>#N/A</v>
      </c>
    </row>
    <row r="121" spans="1:14" x14ac:dyDescent="0.4">
      <c r="A121" s="5" t="e">
        <f>IF(AND(COUNTIF(CHOOSE(N($A$40&gt;=$A$80)+1,$B$80:$N$80,$B$40:$N$40),"&lt;="&amp;70)&gt;0,COUNTIF(CHOOSE(N($A$40&gt;=$A$80)+1,$B$81:$N$81,$B$41:$N$41),"&gt;="&amp;70)&gt;0),70,NA())</f>
        <v>#N/A</v>
      </c>
      <c r="B121" s="6" t="e">
        <f t="shared" ref="B121:N125" si="5">IF(ISNA(B75),NA(),IF(AND($A121&gt;=CHOOSE(N($A$40&gt;=$A$80)+1,B$80,B$40),$A121&lt;=CHOOSE(N($A$40&gt;=$A$80)+1,B$81,B$41)),B75,NA()))</f>
        <v>#N/A</v>
      </c>
      <c r="C121" s="6" t="e">
        <f t="shared" si="5"/>
        <v>#N/A</v>
      </c>
      <c r="D121" s="6" t="e">
        <f t="shared" si="5"/>
        <v>#N/A</v>
      </c>
      <c r="E121" s="6" t="e">
        <f t="shared" si="5"/>
        <v>#N/A</v>
      </c>
      <c r="F121" s="6" t="e">
        <f t="shared" si="5"/>
        <v>#N/A</v>
      </c>
      <c r="G121" s="6" t="e">
        <f t="shared" si="5"/>
        <v>#N/A</v>
      </c>
      <c r="H121" s="6" t="e">
        <f t="shared" si="5"/>
        <v>#N/A</v>
      </c>
      <c r="I121" s="6" t="e">
        <f t="shared" si="5"/>
        <v>#N/A</v>
      </c>
      <c r="J121" s="6" t="e">
        <f t="shared" si="5"/>
        <v>#N/A</v>
      </c>
      <c r="K121" s="6" t="e">
        <f t="shared" si="5"/>
        <v>#N/A</v>
      </c>
      <c r="L121" s="6" t="e">
        <f t="shared" si="5"/>
        <v>#N/A</v>
      </c>
      <c r="M121" s="6" t="e">
        <f t="shared" si="5"/>
        <v>#N/A</v>
      </c>
      <c r="N121" s="6" t="e">
        <f t="shared" si="5"/>
        <v>#N/A</v>
      </c>
    </row>
    <row r="122" spans="1:14" x14ac:dyDescent="0.4">
      <c r="A122" s="5" t="e">
        <f>IF(AND(COUNTIF(CHOOSE(N($A$40&gt;=$A$80)+1,$B$80:$N$80,$B$40:$N$40),"&lt;="&amp;75)&gt;0,COUNTIF(CHOOSE(N($A$40&gt;=$A$80)+1,$B$81:$N$81,$B$41:$N$41),"&gt;="&amp;75)&gt;0),75,NA())</f>
        <v>#N/A</v>
      </c>
      <c r="B122" s="6" t="e">
        <f t="shared" si="5"/>
        <v>#N/A</v>
      </c>
      <c r="C122" s="6" t="e">
        <f t="shared" si="5"/>
        <v>#N/A</v>
      </c>
      <c r="D122" s="6" t="e">
        <f t="shared" si="5"/>
        <v>#N/A</v>
      </c>
      <c r="E122" s="6" t="e">
        <f t="shared" si="5"/>
        <v>#N/A</v>
      </c>
      <c r="F122" s="6" t="e">
        <f t="shared" si="5"/>
        <v>#N/A</v>
      </c>
      <c r="G122" s="6" t="e">
        <f t="shared" si="5"/>
        <v>#N/A</v>
      </c>
      <c r="H122" s="6" t="e">
        <f t="shared" si="5"/>
        <v>#N/A</v>
      </c>
      <c r="I122" s="6" t="e">
        <f t="shared" si="5"/>
        <v>#N/A</v>
      </c>
      <c r="J122" s="6" t="e">
        <f t="shared" si="5"/>
        <v>#N/A</v>
      </c>
      <c r="K122" s="6" t="e">
        <f t="shared" si="5"/>
        <v>#N/A</v>
      </c>
      <c r="L122" s="6" t="e">
        <f t="shared" si="5"/>
        <v>#N/A</v>
      </c>
      <c r="M122" s="6" t="e">
        <f t="shared" si="5"/>
        <v>#N/A</v>
      </c>
      <c r="N122" s="6" t="e">
        <f t="shared" si="5"/>
        <v>#N/A</v>
      </c>
    </row>
    <row r="123" spans="1:14" x14ac:dyDescent="0.4">
      <c r="A123" s="5" t="e">
        <f>IF(AND(COUNTIF(CHOOSE(N($A$40&gt;=$A$80)+1,$B$80:$N$80,$B$40:$N$40),"&lt;="&amp;80)&gt;0,COUNTIF(CHOOSE(N($A$40&gt;=$A$80)+1,$B$81:$N$81,$B$41:$N$41),"&gt;="&amp;80)&gt;0),80,NA())</f>
        <v>#N/A</v>
      </c>
      <c r="B123" s="6" t="e">
        <f t="shared" si="5"/>
        <v>#N/A</v>
      </c>
      <c r="C123" s="6" t="e">
        <f t="shared" si="5"/>
        <v>#N/A</v>
      </c>
      <c r="D123" s="6" t="e">
        <f t="shared" si="5"/>
        <v>#N/A</v>
      </c>
      <c r="E123" s="6" t="e">
        <f t="shared" si="5"/>
        <v>#N/A</v>
      </c>
      <c r="F123" s="6" t="e">
        <f t="shared" si="5"/>
        <v>#N/A</v>
      </c>
      <c r="G123" s="6" t="e">
        <f t="shared" si="5"/>
        <v>#N/A</v>
      </c>
      <c r="H123" s="6" t="e">
        <f t="shared" si="5"/>
        <v>#N/A</v>
      </c>
      <c r="I123" s="6" t="e">
        <f t="shared" si="5"/>
        <v>#N/A</v>
      </c>
      <c r="J123" s="6" t="e">
        <f t="shared" si="5"/>
        <v>#N/A</v>
      </c>
      <c r="K123" s="6" t="e">
        <f t="shared" si="5"/>
        <v>#N/A</v>
      </c>
      <c r="L123" s="6" t="e">
        <f t="shared" si="5"/>
        <v>#N/A</v>
      </c>
      <c r="M123" s="6" t="e">
        <f t="shared" si="5"/>
        <v>#N/A</v>
      </c>
      <c r="N123" s="6" t="e">
        <f t="shared" si="5"/>
        <v>#N/A</v>
      </c>
    </row>
    <row r="124" spans="1:14" x14ac:dyDescent="0.4">
      <c r="A124" s="5" t="e">
        <f>IF(AND(COUNTIF(CHOOSE(N($A$40&gt;=$A$80)+1,$B$80:$N$80,$B$40:$N$40),"&lt;="&amp;85)&gt;0,COUNTIF(CHOOSE(N($A$40&gt;=$A$80)+1,$B$81:$N$81,$B$41:$N$41),"&gt;="&amp;85)&gt;0),85,NA())</f>
        <v>#N/A</v>
      </c>
      <c r="B124" s="6" t="e">
        <f t="shared" si="5"/>
        <v>#N/A</v>
      </c>
      <c r="C124" s="6" t="e">
        <f t="shared" si="5"/>
        <v>#N/A</v>
      </c>
      <c r="D124" s="6" t="e">
        <f t="shared" si="5"/>
        <v>#N/A</v>
      </c>
      <c r="E124" s="6" t="e">
        <f t="shared" si="5"/>
        <v>#N/A</v>
      </c>
      <c r="F124" s="6" t="e">
        <f t="shared" si="5"/>
        <v>#N/A</v>
      </c>
      <c r="G124" s="6" t="e">
        <f t="shared" si="5"/>
        <v>#N/A</v>
      </c>
      <c r="H124" s="6" t="e">
        <f t="shared" si="5"/>
        <v>#N/A</v>
      </c>
      <c r="I124" s="6" t="e">
        <f t="shared" si="5"/>
        <v>#N/A</v>
      </c>
      <c r="J124" s="6" t="e">
        <f t="shared" si="5"/>
        <v>#N/A</v>
      </c>
      <c r="K124" s="6" t="e">
        <f t="shared" si="5"/>
        <v>#N/A</v>
      </c>
      <c r="L124" s="6" t="e">
        <f t="shared" si="5"/>
        <v>#N/A</v>
      </c>
      <c r="M124" s="6" t="e">
        <f t="shared" si="5"/>
        <v>#N/A</v>
      </c>
      <c r="N124" s="6" t="e">
        <f t="shared" si="5"/>
        <v>#N/A</v>
      </c>
    </row>
    <row r="125" spans="1:14" x14ac:dyDescent="0.4">
      <c r="A125" s="5" t="e">
        <f>IF(AND(COUNTIF(CHOOSE(N($A$40&gt;=$A$80)+1,$B$80:$N$80,$B$40:$N$40),"&lt;="&amp;90)&gt;0,COUNTIF(CHOOSE(N($A$40&gt;=$A$80)+1,$B$81:$N$81,$B$41:$N$41),"&gt;="&amp;90)&gt;0),90,NA())</f>
        <v>#N/A</v>
      </c>
      <c r="B125" s="6" t="e">
        <f t="shared" si="5"/>
        <v>#N/A</v>
      </c>
      <c r="C125" s="6" t="e">
        <f t="shared" si="5"/>
        <v>#N/A</v>
      </c>
      <c r="D125" s="6" t="e">
        <f t="shared" si="5"/>
        <v>#N/A</v>
      </c>
      <c r="E125" s="6" t="e">
        <f t="shared" si="5"/>
        <v>#N/A</v>
      </c>
      <c r="F125" s="6" t="e">
        <f t="shared" si="5"/>
        <v>#N/A</v>
      </c>
      <c r="G125" s="6" t="e">
        <f t="shared" si="5"/>
        <v>#N/A</v>
      </c>
      <c r="H125" s="6" t="e">
        <f t="shared" si="5"/>
        <v>#N/A</v>
      </c>
      <c r="I125" s="6" t="e">
        <f t="shared" si="5"/>
        <v>#N/A</v>
      </c>
      <c r="J125" s="6" t="e">
        <f t="shared" si="5"/>
        <v>#N/A</v>
      </c>
      <c r="K125" s="6" t="e">
        <f t="shared" si="5"/>
        <v>#N/A</v>
      </c>
      <c r="L125" s="6" t="e">
        <f t="shared" si="5"/>
        <v>#N/A</v>
      </c>
      <c r="M125" s="6" t="e">
        <f t="shared" si="5"/>
        <v>#N/A</v>
      </c>
      <c r="N125" s="6" t="e">
        <f t="shared" si="5"/>
        <v>#N/A</v>
      </c>
    </row>
  </sheetData>
  <phoneticPr fontId="1"/>
  <conditionalFormatting sqref="A3:A39">
    <cfRule type="expression" dxfId="78" priority="5">
      <formula>A3&lt;&gt;5*(QUOTIENT(ROW(),2)-1)*(-1)^ROW()</formula>
    </cfRule>
  </conditionalFormatting>
  <conditionalFormatting sqref="A40">
    <cfRule type="expression" dxfId="77" priority="19" stopIfTrue="1">
      <formula>A40&gt;=A80</formula>
    </cfRule>
  </conditionalFormatting>
  <conditionalFormatting sqref="A43:A79">
    <cfRule type="expression" dxfId="76" priority="6">
      <formula>NOT(OR(AND($A$43=-90,A44-A43=5), AND($A$79=90,A43-A42=5)))</formula>
    </cfRule>
  </conditionalFormatting>
  <conditionalFormatting sqref="A80">
    <cfRule type="expression" dxfId="75" priority="18" stopIfTrue="1">
      <formula>A40&lt;A80</formula>
    </cfRule>
  </conditionalFormatting>
  <conditionalFormatting sqref="A89:A125">
    <cfRule type="expression" dxfId="74" priority="1">
      <formula>ROW(IF(AND(COUNTIF(CHOOSE(N($A$40&gt;=$A$80),$B$80:$N$80,$B$40:$N$40),"&lt;="&amp;(ROW()-107)*5)&gt;0,COUNTIF(CHOOSE(N($A$40&gt;=$A$80),$B$81:$N$81,$B$41:$N$41),"&gt;="&amp;(ROW()-107)*5)&gt;0),-90,ISNA(A89)))</formula>
    </cfRule>
    <cfRule type="expression" dxfId="73" priority="20" stopIfTrue="1">
      <formula>ISNA(A89)</formula>
    </cfRule>
  </conditionalFormatting>
  <conditionalFormatting sqref="B40:N40">
    <cfRule type="expression" dxfId="72" priority="9">
      <formula>NOT(AND(-90&lt;=B40,B40&lt;90))</formula>
    </cfRule>
  </conditionalFormatting>
  <conditionalFormatting sqref="B40:N41">
    <cfRule type="expression" dxfId="71" priority="8">
      <formula>$A$40&lt;$A$80</formula>
    </cfRule>
    <cfRule type="expression" dxfId="70" priority="11">
      <formula>AND(NOT(ISBLANK(B40)),B$40&gt;=B$41)</formula>
    </cfRule>
    <cfRule type="expression" dxfId="69" priority="12">
      <formula>$A$40&gt;=$A$80</formula>
    </cfRule>
  </conditionalFormatting>
  <conditionalFormatting sqref="B41:N41">
    <cfRule type="expression" dxfId="68" priority="10">
      <formula>NOT(AND(-90&lt;B41,B41&lt;=90))</formula>
    </cfRule>
  </conditionalFormatting>
  <conditionalFormatting sqref="B42:N42">
    <cfRule type="expression" dxfId="67" priority="24">
      <formula>ISNA(B42)</formula>
    </cfRule>
  </conditionalFormatting>
  <conditionalFormatting sqref="B43:N79">
    <cfRule type="expression" dxfId="66" priority="21">
      <formula>NOT(_xlfn.LET(_xlpm.v,INDEX(B$3:B$39,MATCH($A43,$A$3:$A$39,0)),IF(ISBLANK(_xlpm.v),ISNA(B43),B43=_xlpm.v)))</formula>
    </cfRule>
    <cfRule type="expression" dxfId="65" priority="22" stopIfTrue="1">
      <formula>ISNA(B43)</formula>
    </cfRule>
    <cfRule type="expression" dxfId="64" priority="23">
      <formula>AND(CHOOSE(N($A$40&gt;=$A$80)+1,B$80,B$40)&lt;=$A43,$A43&lt;=CHOOSE(N($A$40&gt;=$A$80)+1,B$81,B$41))</formula>
    </cfRule>
  </conditionalFormatting>
  <conditionalFormatting sqref="B80:N80">
    <cfRule type="expression" dxfId="63" priority="14">
      <formula>NOT(AND(-90&lt;=B80,B80&lt;90))</formula>
    </cfRule>
  </conditionalFormatting>
  <conditionalFormatting sqref="B80:N81">
    <cfRule type="expression" dxfId="62" priority="13" stopIfTrue="1">
      <formula>$A$40&gt;=$A$80</formula>
    </cfRule>
    <cfRule type="expression" dxfId="61" priority="16">
      <formula>AND(NOT(ISBLANK(B80)),B$80&gt;=B$81)</formula>
    </cfRule>
    <cfRule type="expression" dxfId="60" priority="17" stopIfTrue="1">
      <formula>$A$40&lt;$A$80</formula>
    </cfRule>
  </conditionalFormatting>
  <conditionalFormatting sqref="B81:N81">
    <cfRule type="expression" dxfId="59" priority="15">
      <formula>NOT(AND(-90&lt;B81,B81&lt;=90))</formula>
    </cfRule>
  </conditionalFormatting>
  <conditionalFormatting sqref="B82:N87">
    <cfRule type="expression" dxfId="58" priority="25">
      <formula>ISNA(B82)</formula>
    </cfRule>
  </conditionalFormatting>
  <conditionalFormatting sqref="B85:N85">
    <cfRule type="expression" dxfId="57" priority="4">
      <formula>NOT(IF(AND(ISBLANK(CHOOSE(N($A$40&gt;=$A$80)+1,B$80,B$40)),ISBLANK(CHOOSE(N($A$40&gt;=$A$80)+1,B$81,B$41))),ISNA(B85),B85=(-B83)/(2*B82)))</formula>
    </cfRule>
  </conditionalFormatting>
  <conditionalFormatting sqref="B86:N86">
    <cfRule type="expression" dxfId="56" priority="3">
      <formula>NOT(IF(AND(ISBLANK(CHOOSE(N($A$40&gt;=$A$80)+1,B$80,B$40)),ISBLANK(CHOOSE(N($A$40&gt;=$A$80)+1,B$81,B$41))),ISNA(B86),B86=B82*B85^2+B83*B85+B84))</formula>
    </cfRule>
  </conditionalFormatting>
  <conditionalFormatting sqref="B87:N87">
    <cfRule type="expression" dxfId="55" priority="2">
      <formula>NOT(IF(AND(ISBLANK(CHOOSE(N($A$40&gt;=$A$80)+1,B$80,B$40)),ISBLANK(CHOOSE(N($A$40&gt;=$A$80)+1,B$81,B$41))),ISNA(B87),_xlfn.LET(_xlpm.a,INDIRECT("A"&amp;MATCH(CHOOSE(N($A$40&gt;=$A$80)+1,B$80,B$40),$A$43:$A$79,0)+ROW(B43)-1&amp;":A"&amp;MATCH(CHOOSE(N($A$40&gt;=$A$80)+1,B$81,B$41),$A$43:$A$79,0)+ROW(B43)-1),_xlpm.b,INDIRECT(ADDRESS(MATCH(CHOOSE(N($A$40&gt;=$A$80)+1,B$80,B$40),$A$43:$A$79,0)+ROW(B43)-1,COLUMN())&amp;":"&amp;ADDRESS(MATCH(CHOOSE(N($A$40&gt;=$A$80)+1,B$81,B$41),$A$43:$A$79,0)+ROW(B43)-1,COLUMN())),B87=1-SUM((B82*_xlpm.a^2+B83*_xlpm.a+B84-_xlpm.b)^2)/SUM((_xlpm.b-AVERAGE(_xlpm.b))^2))))</formula>
    </cfRule>
  </conditionalFormatting>
  <conditionalFormatting sqref="B89:N125">
    <cfRule type="expression" dxfId="54" priority="7">
      <formula>NOT(IF(OR(ISNA($A89),ISNA(B43)),ISNA(B89),IF(AND($A89&gt;=CHOOSE(N($A$40&gt;=$A$80)+1,B$80,B$40),$A89&lt;=CHOOSE(N($A$40&gt;=$A$80)+1,B$81,B$41)),B89=B43,ISNA(B89))))</formula>
    </cfRule>
    <cfRule type="expression" dxfId="53" priority="26">
      <formula>ISNA(B89)</formula>
    </cfRule>
  </conditionalFormatting>
  <dataValidations count="1">
    <dataValidation allowBlank="1" showInputMessage="1" showErrorMessage="1" sqref="B89:N125" xr:uid="{4617CC1C-61B1-415B-8F00-854B00872D18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A3DF-8827-448A-BDCB-2C65D96B7942}">
  <dimension ref="A1:R125"/>
  <sheetViews>
    <sheetView tabSelected="1" topLeftCell="A65" zoomScaleNormal="100" workbookViewId="0">
      <selection activeCell="C81" sqref="C81"/>
    </sheetView>
  </sheetViews>
  <sheetFormatPr defaultRowHeight="18.75" x14ac:dyDescent="0.4"/>
  <cols>
    <col min="1" max="1" width="10" customWidth="1"/>
    <col min="2" max="2" width="10.25" customWidth="1"/>
    <col min="3" max="14" width="9.75" customWidth="1"/>
    <col min="15" max="15" width="12.125" bestFit="1" customWidth="1"/>
  </cols>
  <sheetData>
    <row r="1" spans="1:14" x14ac:dyDescent="0.4">
      <c r="A1" s="7">
        <v>45889</v>
      </c>
      <c r="B1" s="8">
        <v>15</v>
      </c>
      <c r="C1" s="8">
        <v>30</v>
      </c>
      <c r="D1" s="8">
        <v>45</v>
      </c>
      <c r="E1" s="8">
        <v>60</v>
      </c>
      <c r="F1" s="8">
        <v>120</v>
      </c>
      <c r="G1" s="8"/>
      <c r="H1" s="8"/>
      <c r="I1" s="8"/>
      <c r="J1" s="8"/>
      <c r="K1" s="8"/>
      <c r="L1" s="8"/>
      <c r="M1" s="8"/>
      <c r="N1" s="8"/>
    </row>
    <row r="2" spans="1:14" x14ac:dyDescent="0.4">
      <c r="A2" s="3">
        <v>125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4">
      <c r="A3" s="5">
        <v>0</v>
      </c>
      <c r="B3" s="6">
        <v>332.7</v>
      </c>
      <c r="C3" s="6">
        <v>226.5</v>
      </c>
      <c r="D3" s="6">
        <v>178.6</v>
      </c>
      <c r="E3" s="6">
        <v>155.80000000000001</v>
      </c>
      <c r="F3" s="6">
        <v>127.5</v>
      </c>
      <c r="G3" s="6"/>
      <c r="H3" s="6"/>
      <c r="I3" s="6"/>
      <c r="J3" s="6"/>
      <c r="K3" s="6"/>
      <c r="L3" s="6"/>
      <c r="M3" s="6"/>
      <c r="N3" s="6"/>
    </row>
    <row r="4" spans="1:14" x14ac:dyDescent="0.4">
      <c r="A4" s="5">
        <v>5</v>
      </c>
      <c r="B4" s="6">
        <v>403</v>
      </c>
      <c r="C4" s="6">
        <v>283</v>
      </c>
      <c r="D4" s="6">
        <v>235.9</v>
      </c>
      <c r="E4" s="6">
        <v>200.2</v>
      </c>
      <c r="F4" s="6">
        <v>177.8</v>
      </c>
      <c r="G4" s="6"/>
      <c r="H4" s="6"/>
      <c r="I4" s="6"/>
      <c r="J4" s="6"/>
      <c r="K4" s="6"/>
      <c r="L4" s="6"/>
      <c r="M4" s="6"/>
      <c r="N4" s="6"/>
    </row>
    <row r="5" spans="1:14" x14ac:dyDescent="0.4">
      <c r="A5" s="5">
        <v>-5</v>
      </c>
      <c r="B5" s="6">
        <v>262.3</v>
      </c>
      <c r="C5" s="6">
        <v>163.1</v>
      </c>
      <c r="D5" s="6">
        <v>125.5</v>
      </c>
      <c r="E5" s="6">
        <v>101.4</v>
      </c>
      <c r="F5" s="6">
        <v>84.3</v>
      </c>
      <c r="G5" s="6"/>
      <c r="H5" s="6"/>
      <c r="I5" s="6"/>
      <c r="J5" s="6"/>
      <c r="K5" s="6"/>
      <c r="L5" s="6"/>
      <c r="M5" s="6"/>
      <c r="N5" s="6"/>
    </row>
    <row r="6" spans="1:14" x14ac:dyDescent="0.4">
      <c r="A6" s="5">
        <v>10</v>
      </c>
      <c r="B6" s="6">
        <v>470</v>
      </c>
      <c r="C6" s="6">
        <v>344.6</v>
      </c>
      <c r="D6" s="6">
        <v>285.10000000000002</v>
      </c>
      <c r="E6" s="6">
        <v>261.7</v>
      </c>
      <c r="F6" s="6">
        <v>236.8</v>
      </c>
      <c r="G6" s="6"/>
      <c r="H6" s="6"/>
      <c r="I6" s="6"/>
      <c r="J6" s="6"/>
      <c r="K6" s="6"/>
      <c r="L6" s="6"/>
      <c r="M6" s="6"/>
      <c r="N6" s="6"/>
    </row>
    <row r="7" spans="1:14" x14ac:dyDescent="0.4">
      <c r="A7" s="5">
        <v>-10</v>
      </c>
      <c r="B7" s="6">
        <v>196.9</v>
      </c>
      <c r="C7" s="6">
        <v>115.8</v>
      </c>
      <c r="D7" s="6">
        <v>81.8</v>
      </c>
      <c r="E7" s="6">
        <v>65.599999999999994</v>
      </c>
      <c r="F7" s="6">
        <v>49.5</v>
      </c>
      <c r="G7" s="6"/>
      <c r="H7" s="6"/>
      <c r="I7" s="6"/>
      <c r="J7" s="6"/>
      <c r="K7" s="6"/>
      <c r="L7" s="6"/>
      <c r="M7" s="6"/>
      <c r="N7" s="6"/>
    </row>
    <row r="8" spans="1:14" x14ac:dyDescent="0.4">
      <c r="A8" s="5">
        <v>15</v>
      </c>
      <c r="B8" s="6">
        <v>532</v>
      </c>
      <c r="C8" s="6">
        <v>407</v>
      </c>
      <c r="D8" s="6">
        <v>349.1</v>
      </c>
      <c r="E8" s="6">
        <v>317.89999999999998</v>
      </c>
      <c r="F8" s="6">
        <v>304.7</v>
      </c>
      <c r="G8" s="6"/>
      <c r="H8" s="6"/>
      <c r="I8" s="6"/>
      <c r="J8" s="6"/>
      <c r="K8" s="6"/>
      <c r="L8" s="6"/>
      <c r="M8" s="6"/>
      <c r="N8" s="6"/>
    </row>
    <row r="9" spans="1:14" x14ac:dyDescent="0.4">
      <c r="A9" s="5">
        <v>-15</v>
      </c>
      <c r="B9" s="6">
        <v>137.30000000000001</v>
      </c>
      <c r="C9" s="6">
        <v>76.900000000000006</v>
      </c>
      <c r="D9" s="6">
        <v>48.7</v>
      </c>
      <c r="E9" s="6">
        <v>36.08</v>
      </c>
      <c r="F9" s="6">
        <v>26.57</v>
      </c>
      <c r="G9" s="6"/>
      <c r="H9" s="6"/>
      <c r="I9" s="6"/>
      <c r="J9" s="6"/>
      <c r="K9" s="6"/>
      <c r="L9" s="6"/>
      <c r="M9" s="6"/>
      <c r="N9" s="6"/>
    </row>
    <row r="10" spans="1:14" x14ac:dyDescent="0.4">
      <c r="A10" s="5">
        <v>20</v>
      </c>
      <c r="B10" s="6">
        <v>601</v>
      </c>
      <c r="C10" s="6">
        <v>471</v>
      </c>
      <c r="D10" s="6">
        <v>416</v>
      </c>
      <c r="E10" s="6">
        <v>379</v>
      </c>
      <c r="F10" s="6">
        <v>367</v>
      </c>
      <c r="G10" s="6"/>
      <c r="H10" s="6"/>
      <c r="I10" s="6"/>
      <c r="J10" s="6"/>
      <c r="K10" s="6"/>
      <c r="L10" s="6"/>
      <c r="M10" s="6"/>
      <c r="N10" s="6"/>
    </row>
    <row r="11" spans="1:14" x14ac:dyDescent="0.4">
      <c r="A11" s="5">
        <v>-20</v>
      </c>
      <c r="B11" s="6">
        <v>92.9</v>
      </c>
      <c r="C11" s="6">
        <v>40</v>
      </c>
      <c r="D11" s="6">
        <v>24.85</v>
      </c>
      <c r="E11" s="6">
        <v>17.57</v>
      </c>
      <c r="F11" s="6">
        <v>12.05</v>
      </c>
      <c r="G11" s="6"/>
      <c r="H11" s="6"/>
      <c r="I11" s="6"/>
      <c r="J11" s="6"/>
      <c r="K11" s="6"/>
      <c r="L11" s="6"/>
      <c r="M11" s="6"/>
      <c r="N11" s="6"/>
    </row>
    <row r="12" spans="1:14" x14ac:dyDescent="0.4">
      <c r="A12" s="5">
        <v>25</v>
      </c>
      <c r="B12" s="6">
        <v>659</v>
      </c>
      <c r="C12" s="6">
        <v>536</v>
      </c>
      <c r="D12" s="6">
        <v>480</v>
      </c>
      <c r="E12" s="6">
        <v>442</v>
      </c>
      <c r="F12" s="6">
        <v>438</v>
      </c>
      <c r="G12" s="6"/>
      <c r="H12" s="6"/>
      <c r="I12" s="6"/>
      <c r="J12" s="6"/>
      <c r="K12" s="6"/>
      <c r="L12" s="6"/>
      <c r="M12" s="6"/>
      <c r="N12" s="6"/>
    </row>
    <row r="13" spans="1:14" x14ac:dyDescent="0.4">
      <c r="A13" s="5">
        <v>-25</v>
      </c>
      <c r="B13" s="6">
        <v>56.3</v>
      </c>
      <c r="C13" s="6">
        <v>20.76</v>
      </c>
      <c r="D13" s="6">
        <v>11.97</v>
      </c>
      <c r="E13" s="6">
        <v>8.75</v>
      </c>
      <c r="F13" s="6">
        <v>9.5</v>
      </c>
      <c r="G13" s="6"/>
      <c r="H13" s="6"/>
      <c r="I13" s="6"/>
      <c r="J13" s="6"/>
      <c r="K13" s="6"/>
      <c r="L13" s="6"/>
      <c r="M13" s="6"/>
      <c r="N13" s="6"/>
    </row>
    <row r="14" spans="1:14" x14ac:dyDescent="0.4">
      <c r="A14" s="5">
        <v>30</v>
      </c>
      <c r="B14" s="6">
        <v>716</v>
      </c>
      <c r="C14" s="6">
        <v>592</v>
      </c>
      <c r="D14" s="6">
        <v>541</v>
      </c>
      <c r="E14" s="6">
        <v>501</v>
      </c>
      <c r="F14" s="6">
        <v>505</v>
      </c>
      <c r="G14" s="6"/>
      <c r="H14" s="6"/>
      <c r="I14" s="6"/>
      <c r="J14" s="6"/>
      <c r="K14" s="6"/>
      <c r="L14" s="6"/>
      <c r="M14" s="6"/>
      <c r="N14" s="6"/>
    </row>
    <row r="15" spans="1:14" x14ac:dyDescent="0.4">
      <c r="A15" s="5">
        <v>-30</v>
      </c>
      <c r="B15" s="6">
        <v>26.5</v>
      </c>
      <c r="C15" s="6">
        <v>11.01</v>
      </c>
      <c r="D15" s="6">
        <v>9.33</v>
      </c>
      <c r="E15" s="6">
        <v>11.55</v>
      </c>
      <c r="F15" s="6">
        <v>18.93</v>
      </c>
      <c r="G15" s="6"/>
      <c r="H15" s="6"/>
      <c r="I15" s="6"/>
      <c r="J15" s="6"/>
      <c r="K15" s="6"/>
      <c r="L15" s="6"/>
      <c r="M15" s="6"/>
      <c r="N15" s="6"/>
    </row>
    <row r="16" spans="1:14" x14ac:dyDescent="0.4">
      <c r="A16" s="5">
        <v>35</v>
      </c>
      <c r="B16" s="6">
        <v>747</v>
      </c>
      <c r="C16" s="6">
        <v>650</v>
      </c>
      <c r="D16" s="6">
        <v>597</v>
      </c>
      <c r="E16" s="6">
        <v>570</v>
      </c>
      <c r="F16" s="6">
        <v>569</v>
      </c>
      <c r="G16" s="6"/>
      <c r="H16" s="6"/>
      <c r="I16" s="6"/>
      <c r="J16" s="6"/>
      <c r="K16" s="6"/>
      <c r="L16" s="6"/>
      <c r="M16" s="6"/>
      <c r="N16" s="6"/>
    </row>
    <row r="17" spans="1:14" x14ac:dyDescent="0.4">
      <c r="A17" s="5">
        <v>-35</v>
      </c>
      <c r="B17" s="6">
        <v>12.73</v>
      </c>
      <c r="C17" s="6">
        <v>11.92</v>
      </c>
      <c r="D17" s="6">
        <v>16.46</v>
      </c>
      <c r="E17" s="6">
        <v>25.12</v>
      </c>
      <c r="F17" s="6">
        <v>37.96</v>
      </c>
      <c r="G17" s="6"/>
      <c r="H17" s="6"/>
      <c r="I17" s="6"/>
      <c r="J17" s="6"/>
      <c r="K17" s="6"/>
      <c r="L17" s="6"/>
      <c r="M17" s="6"/>
      <c r="N17" s="6"/>
    </row>
    <row r="18" spans="1:14" x14ac:dyDescent="0.4">
      <c r="A18" s="5">
        <v>40</v>
      </c>
      <c r="B18" s="6">
        <v>785</v>
      </c>
      <c r="C18" s="6">
        <v>695</v>
      </c>
      <c r="D18" s="6">
        <v>646</v>
      </c>
      <c r="E18" s="6">
        <v>624</v>
      </c>
      <c r="F18" s="6">
        <v>633</v>
      </c>
      <c r="G18" s="6"/>
      <c r="H18" s="6"/>
      <c r="I18" s="6"/>
      <c r="J18" s="6"/>
      <c r="K18" s="6"/>
      <c r="L18" s="6"/>
      <c r="M18" s="6"/>
      <c r="N18" s="6"/>
    </row>
    <row r="19" spans="1:14" x14ac:dyDescent="0.4">
      <c r="A19" s="5">
        <v>-40</v>
      </c>
      <c r="B19" s="6">
        <v>12.54</v>
      </c>
      <c r="C19" s="6">
        <v>22.65</v>
      </c>
      <c r="D19" s="6">
        <v>37.450000000000003</v>
      </c>
      <c r="E19" s="6">
        <v>47.1</v>
      </c>
      <c r="F19" s="6">
        <v>70.599999999999994</v>
      </c>
      <c r="G19" s="6"/>
      <c r="H19" s="6"/>
      <c r="I19" s="6"/>
      <c r="J19" s="6"/>
      <c r="K19" s="6"/>
      <c r="L19" s="6"/>
      <c r="M19" s="6"/>
      <c r="N19" s="6"/>
    </row>
    <row r="20" spans="1:14" x14ac:dyDescent="0.4">
      <c r="A20" s="5">
        <v>45</v>
      </c>
      <c r="B20" s="6">
        <v>805</v>
      </c>
      <c r="C20" s="6">
        <v>733</v>
      </c>
      <c r="D20" s="6">
        <v>686</v>
      </c>
      <c r="E20" s="6">
        <v>666</v>
      </c>
      <c r="F20" s="6">
        <v>684</v>
      </c>
      <c r="G20" s="6"/>
      <c r="H20" s="6"/>
      <c r="I20" s="6"/>
      <c r="J20" s="6"/>
      <c r="K20" s="6"/>
      <c r="L20" s="6"/>
      <c r="M20" s="6"/>
      <c r="N20" s="6"/>
    </row>
    <row r="21" spans="1:14" x14ac:dyDescent="0.4">
      <c r="A21" s="5">
        <v>-45</v>
      </c>
      <c r="B21" s="6">
        <v>27.3</v>
      </c>
      <c r="C21" s="6">
        <v>45.9</v>
      </c>
      <c r="D21" s="6">
        <v>63.9</v>
      </c>
      <c r="E21" s="6">
        <v>82.3</v>
      </c>
      <c r="F21" s="6">
        <v>113</v>
      </c>
      <c r="G21" s="6"/>
      <c r="H21" s="6"/>
      <c r="I21" s="6"/>
      <c r="J21" s="6"/>
      <c r="K21" s="6"/>
      <c r="L21" s="6"/>
      <c r="M21" s="6"/>
      <c r="N21" s="6"/>
    </row>
    <row r="22" spans="1:14" x14ac:dyDescent="0.4">
      <c r="A22" s="5">
        <v>50</v>
      </c>
      <c r="B22" s="6">
        <v>819</v>
      </c>
      <c r="C22" s="6">
        <v>758</v>
      </c>
      <c r="D22" s="6">
        <v>721</v>
      </c>
      <c r="E22" s="6">
        <v>703</v>
      </c>
      <c r="F22" s="6">
        <v>727</v>
      </c>
      <c r="G22" s="6"/>
      <c r="H22" s="6"/>
      <c r="I22" s="6"/>
      <c r="J22" s="6"/>
      <c r="K22" s="6"/>
      <c r="L22" s="6"/>
      <c r="M22" s="6"/>
      <c r="N22" s="6"/>
    </row>
    <row r="23" spans="1:14" x14ac:dyDescent="0.4">
      <c r="A23" s="5">
        <v>-50</v>
      </c>
      <c r="B23" s="6">
        <v>54.6</v>
      </c>
      <c r="C23" s="6">
        <v>77.3</v>
      </c>
      <c r="D23" s="6">
        <v>106</v>
      </c>
      <c r="E23" s="6">
        <v>127</v>
      </c>
      <c r="F23" s="6">
        <v>159</v>
      </c>
      <c r="G23" s="6"/>
      <c r="H23" s="6"/>
      <c r="I23" s="6"/>
      <c r="J23" s="6"/>
      <c r="K23" s="6"/>
      <c r="L23" s="6"/>
      <c r="M23" s="6"/>
      <c r="N23" s="6"/>
    </row>
    <row r="24" spans="1:14" x14ac:dyDescent="0.4">
      <c r="A24" s="5">
        <v>55</v>
      </c>
      <c r="B24" s="6">
        <v>824</v>
      </c>
      <c r="C24" s="6">
        <v>776</v>
      </c>
      <c r="D24" s="6">
        <v>746</v>
      </c>
      <c r="E24" s="6">
        <v>734</v>
      </c>
      <c r="F24" s="6">
        <v>765</v>
      </c>
      <c r="G24" s="6"/>
      <c r="H24" s="6"/>
      <c r="I24" s="6"/>
      <c r="J24" s="6"/>
      <c r="K24" s="6"/>
      <c r="L24" s="6"/>
      <c r="M24" s="6"/>
      <c r="N24" s="6"/>
    </row>
    <row r="25" spans="1:14" x14ac:dyDescent="0.4">
      <c r="A25" s="5">
        <v>-55</v>
      </c>
      <c r="B25" s="6">
        <v>90.6</v>
      </c>
      <c r="C25" s="6">
        <v>125.1</v>
      </c>
      <c r="D25" s="6">
        <v>152.4</v>
      </c>
      <c r="E25" s="6">
        <v>177.9</v>
      </c>
      <c r="F25" s="6">
        <v>210</v>
      </c>
      <c r="G25" s="6"/>
      <c r="H25" s="6"/>
      <c r="I25" s="6"/>
      <c r="J25" s="6"/>
      <c r="K25" s="6"/>
      <c r="L25" s="6"/>
      <c r="M25" s="6"/>
      <c r="N25" s="6"/>
    </row>
    <row r="26" spans="1:14" x14ac:dyDescent="0.4">
      <c r="A26" s="5">
        <v>60</v>
      </c>
      <c r="B26" s="6">
        <v>820</v>
      </c>
      <c r="C26" s="6">
        <v>781</v>
      </c>
      <c r="D26" s="6">
        <v>761</v>
      </c>
      <c r="E26" s="6">
        <v>752</v>
      </c>
      <c r="F26" s="6">
        <v>790</v>
      </c>
      <c r="G26" s="6"/>
      <c r="H26" s="6"/>
      <c r="I26" s="6"/>
      <c r="J26" s="6"/>
      <c r="K26" s="6"/>
      <c r="L26" s="6"/>
      <c r="M26" s="6"/>
      <c r="N26" s="6"/>
    </row>
    <row r="27" spans="1:14" x14ac:dyDescent="0.4">
      <c r="A27" s="5">
        <v>-60</v>
      </c>
      <c r="B27" s="6">
        <v>136.80000000000001</v>
      </c>
      <c r="C27" s="6">
        <v>171.8</v>
      </c>
      <c r="D27" s="6">
        <v>203.4</v>
      </c>
      <c r="E27" s="6">
        <v>231.3</v>
      </c>
      <c r="F27" s="6">
        <v>275</v>
      </c>
      <c r="G27" s="6"/>
      <c r="H27" s="6"/>
      <c r="I27" s="6"/>
      <c r="J27" s="6"/>
      <c r="K27" s="6"/>
      <c r="L27" s="6"/>
      <c r="M27" s="6"/>
      <c r="N27" s="6"/>
    </row>
    <row r="28" spans="1:14" x14ac:dyDescent="0.4">
      <c r="A28" s="5">
        <v>65</v>
      </c>
      <c r="B28" s="6">
        <v>800</v>
      </c>
      <c r="C28" s="6">
        <v>776</v>
      </c>
      <c r="D28" s="6">
        <v>761</v>
      </c>
      <c r="E28" s="6">
        <v>758</v>
      </c>
      <c r="F28" s="6">
        <v>802</v>
      </c>
      <c r="G28" s="6"/>
      <c r="H28" s="6"/>
      <c r="I28" s="6"/>
      <c r="J28" s="6"/>
      <c r="K28" s="6"/>
      <c r="L28" s="6"/>
      <c r="M28" s="6"/>
      <c r="N28" s="6"/>
    </row>
    <row r="29" spans="1:14" x14ac:dyDescent="0.4">
      <c r="A29" s="5">
        <v>-65</v>
      </c>
      <c r="B29" s="6">
        <v>192.5</v>
      </c>
      <c r="C29" s="6">
        <v>230.02</v>
      </c>
      <c r="D29" s="6">
        <v>260.7</v>
      </c>
      <c r="E29" s="6">
        <v>292.3</v>
      </c>
      <c r="F29" s="6">
        <v>343</v>
      </c>
      <c r="G29" s="6"/>
      <c r="H29" s="6"/>
      <c r="I29" s="6"/>
      <c r="J29" s="6"/>
      <c r="K29" s="6"/>
      <c r="L29" s="6"/>
      <c r="M29" s="6"/>
      <c r="N29" s="6"/>
    </row>
    <row r="30" spans="1:14" x14ac:dyDescent="0.4">
      <c r="A30" s="5">
        <v>70</v>
      </c>
      <c r="B30" s="6">
        <v>774</v>
      </c>
      <c r="C30" s="6">
        <v>760</v>
      </c>
      <c r="D30" s="6">
        <v>750</v>
      </c>
      <c r="E30" s="6">
        <v>753</v>
      </c>
      <c r="F30" s="6">
        <v>803</v>
      </c>
      <c r="G30" s="6"/>
      <c r="H30" s="6"/>
      <c r="I30" s="6"/>
      <c r="J30" s="6"/>
      <c r="K30" s="6"/>
      <c r="L30" s="6"/>
      <c r="M30" s="6"/>
      <c r="N30" s="6"/>
    </row>
    <row r="31" spans="1:14" x14ac:dyDescent="0.4">
      <c r="A31" s="5">
        <v>-70</v>
      </c>
      <c r="B31" s="6">
        <v>251.9</v>
      </c>
      <c r="C31" s="6">
        <v>294.2</v>
      </c>
      <c r="D31" s="6">
        <v>335</v>
      </c>
      <c r="E31" s="6">
        <v>358.7</v>
      </c>
      <c r="F31" s="6">
        <v>405</v>
      </c>
      <c r="G31" s="6"/>
      <c r="H31" s="6"/>
      <c r="I31" s="6"/>
      <c r="J31" s="6"/>
      <c r="K31" s="6"/>
      <c r="L31" s="6"/>
      <c r="M31" s="6"/>
      <c r="N31" s="6"/>
    </row>
    <row r="32" spans="1:14" x14ac:dyDescent="0.4">
      <c r="A32" s="5">
        <v>75</v>
      </c>
      <c r="B32" s="6">
        <v>729</v>
      </c>
      <c r="C32" s="6">
        <v>730</v>
      </c>
      <c r="D32" s="6">
        <v>728</v>
      </c>
      <c r="E32" s="6">
        <v>734</v>
      </c>
      <c r="F32" s="6">
        <v>793</v>
      </c>
      <c r="G32" s="6"/>
      <c r="H32" s="6"/>
      <c r="I32" s="6"/>
      <c r="J32" s="6"/>
      <c r="K32" s="6"/>
      <c r="L32" s="6"/>
      <c r="M32" s="6"/>
      <c r="N32" s="6"/>
    </row>
    <row r="33" spans="1:14" x14ac:dyDescent="0.4">
      <c r="A33" s="5">
        <v>-75</v>
      </c>
      <c r="B33" s="6">
        <v>324.39999999999998</v>
      </c>
      <c r="C33" s="6">
        <v>361.5</v>
      </c>
      <c r="D33" s="6">
        <v>401</v>
      </c>
      <c r="E33" s="6">
        <v>426</v>
      </c>
      <c r="F33" s="6">
        <v>476</v>
      </c>
      <c r="G33" s="6"/>
      <c r="H33" s="6"/>
      <c r="I33" s="6"/>
      <c r="J33" s="6"/>
      <c r="K33" s="6"/>
      <c r="L33" s="6"/>
      <c r="M33" s="6"/>
      <c r="N33" s="6"/>
    </row>
    <row r="34" spans="1:14" x14ac:dyDescent="0.4">
      <c r="A34" s="5">
        <v>80</v>
      </c>
      <c r="B34" s="6">
        <v>686</v>
      </c>
      <c r="C34" s="6">
        <v>693</v>
      </c>
      <c r="D34" s="6">
        <v>695</v>
      </c>
      <c r="E34" s="6">
        <v>711</v>
      </c>
      <c r="F34" s="6">
        <v>771</v>
      </c>
      <c r="G34" s="6"/>
      <c r="H34" s="6"/>
      <c r="I34" s="6"/>
      <c r="J34" s="6"/>
      <c r="K34" s="6"/>
      <c r="L34" s="6"/>
      <c r="M34" s="6"/>
      <c r="N34" s="6"/>
    </row>
    <row r="35" spans="1:14" x14ac:dyDescent="0.4">
      <c r="A35" s="5">
        <v>-80</v>
      </c>
      <c r="B35" s="6">
        <v>387.9</v>
      </c>
      <c r="C35" s="6">
        <v>430</v>
      </c>
      <c r="D35" s="6">
        <v>466</v>
      </c>
      <c r="E35" s="6">
        <v>489</v>
      </c>
      <c r="F35" s="6">
        <v>543</v>
      </c>
      <c r="G35" s="6"/>
      <c r="H35" s="6"/>
      <c r="I35" s="6"/>
      <c r="J35" s="6"/>
      <c r="K35" s="6"/>
      <c r="L35" s="6"/>
      <c r="M35" s="6"/>
      <c r="N35" s="6"/>
    </row>
    <row r="36" spans="1:14" x14ac:dyDescent="0.4">
      <c r="A36" s="5">
        <v>85</v>
      </c>
      <c r="B36" s="6">
        <v>628</v>
      </c>
      <c r="C36" s="6">
        <v>642</v>
      </c>
      <c r="D36" s="6">
        <v>657</v>
      </c>
      <c r="E36" s="6">
        <v>672</v>
      </c>
      <c r="F36" s="6">
        <v>735</v>
      </c>
      <c r="G36" s="6"/>
      <c r="H36" s="6"/>
      <c r="I36" s="6"/>
      <c r="J36" s="6"/>
      <c r="K36" s="6"/>
      <c r="L36" s="6"/>
      <c r="M36" s="6"/>
      <c r="N36" s="6"/>
    </row>
    <row r="37" spans="1:14" x14ac:dyDescent="0.4">
      <c r="A37" s="5">
        <v>-85</v>
      </c>
      <c r="B37" s="6">
        <v>465</v>
      </c>
      <c r="C37" s="6">
        <v>497</v>
      </c>
      <c r="D37" s="6">
        <v>530</v>
      </c>
      <c r="E37" s="6">
        <v>558</v>
      </c>
      <c r="F37" s="6">
        <v>613</v>
      </c>
      <c r="G37" s="6"/>
      <c r="H37" s="6"/>
      <c r="I37" s="6"/>
      <c r="J37" s="6"/>
      <c r="K37" s="6"/>
      <c r="L37" s="6"/>
      <c r="M37" s="6"/>
      <c r="N37" s="6"/>
    </row>
    <row r="38" spans="1:14" x14ac:dyDescent="0.4">
      <c r="A38" s="5">
        <v>90</v>
      </c>
      <c r="B38" s="6">
        <v>568</v>
      </c>
      <c r="C38" s="6">
        <v>593</v>
      </c>
      <c r="D38" s="6">
        <v>616</v>
      </c>
      <c r="E38" s="6">
        <v>630</v>
      </c>
      <c r="F38" s="6">
        <v>694</v>
      </c>
      <c r="G38" s="6"/>
      <c r="H38" s="6"/>
      <c r="I38" s="6"/>
      <c r="J38" s="6"/>
      <c r="K38" s="6"/>
      <c r="L38" s="6"/>
      <c r="M38" s="6"/>
      <c r="N38" s="6"/>
    </row>
    <row r="39" spans="1:14" x14ac:dyDescent="0.4">
      <c r="A39" s="5">
        <v>-90</v>
      </c>
      <c r="B39" s="6">
        <v>528</v>
      </c>
      <c r="C39" s="6">
        <v>562</v>
      </c>
      <c r="D39" s="6">
        <v>584</v>
      </c>
      <c r="E39" s="6">
        <v>601</v>
      </c>
      <c r="F39" s="6">
        <v>668</v>
      </c>
      <c r="G39" s="6"/>
      <c r="H39" s="6"/>
      <c r="I39" s="6"/>
      <c r="J39" s="6"/>
      <c r="K39" s="6"/>
      <c r="L39" s="6"/>
      <c r="M39" s="6"/>
      <c r="N39" s="6"/>
    </row>
    <row r="40" spans="1:14" x14ac:dyDescent="0.4">
      <c r="A40">
        <v>3</v>
      </c>
      <c r="B40">
        <v>-80</v>
      </c>
      <c r="C40">
        <v>-75</v>
      </c>
      <c r="D40">
        <v>-70</v>
      </c>
      <c r="E40">
        <v>-65</v>
      </c>
      <c r="F40">
        <v>-60</v>
      </c>
    </row>
    <row r="41" spans="1:14" ht="19.5" thickBot="1" x14ac:dyDescent="0.45">
      <c r="A41" s="9"/>
      <c r="B41" s="9">
        <v>5</v>
      </c>
      <c r="C41" s="9">
        <v>10</v>
      </c>
      <c r="D41" s="9">
        <v>15</v>
      </c>
      <c r="E41" s="9">
        <v>20</v>
      </c>
      <c r="F41" s="9">
        <v>25</v>
      </c>
      <c r="G41" s="9"/>
      <c r="H41" s="9"/>
      <c r="I41" s="9"/>
      <c r="J41" s="9"/>
      <c r="K41" s="9"/>
      <c r="L41" s="9"/>
      <c r="M41" s="9"/>
      <c r="N41" s="9"/>
    </row>
    <row r="42" spans="1:14" x14ac:dyDescent="0.4">
      <c r="B42" s="8">
        <f t="shared" ref="B42:N42" si="0">IF(ISBLANK(B1),NA(),B1)</f>
        <v>15</v>
      </c>
      <c r="C42" s="8">
        <f t="shared" si="0"/>
        <v>30</v>
      </c>
      <c r="D42" s="8">
        <f t="shared" si="0"/>
        <v>45</v>
      </c>
      <c r="E42" s="8">
        <f t="shared" si="0"/>
        <v>60</v>
      </c>
      <c r="F42" s="8">
        <f t="shared" si="0"/>
        <v>120</v>
      </c>
      <c r="G42" s="8" t="e">
        <f t="shared" si="0"/>
        <v>#N/A</v>
      </c>
      <c r="H42" s="8" t="e">
        <f t="shared" si="0"/>
        <v>#N/A</v>
      </c>
      <c r="I42" s="8" t="e">
        <f t="shared" si="0"/>
        <v>#N/A</v>
      </c>
      <c r="J42" s="8" t="e">
        <f t="shared" si="0"/>
        <v>#N/A</v>
      </c>
      <c r="K42" s="8" t="e">
        <f t="shared" si="0"/>
        <v>#N/A</v>
      </c>
      <c r="L42" s="8" t="e">
        <f t="shared" si="0"/>
        <v>#N/A</v>
      </c>
      <c r="M42" s="8" t="e">
        <f t="shared" si="0"/>
        <v>#N/A</v>
      </c>
      <c r="N42" s="8" t="e">
        <f t="shared" si="0"/>
        <v>#N/A</v>
      </c>
    </row>
    <row r="43" spans="1:14" x14ac:dyDescent="0.4">
      <c r="A43" s="5">
        <v>-90</v>
      </c>
      <c r="B43" s="6" cm="1">
        <f t="array" ref="B43">_xlfn.LET(_xlpm.v,INDEX(B$3:B$39,MATCH($A43,$A$3:$A$39,0)),IF(ISBLANK(_xlpm.v),NA(),_xlpm.v))</f>
        <v>528</v>
      </c>
      <c r="C43" s="6" cm="1">
        <f t="array" ref="C43">_xlfn.LET(_xlpm.v,INDEX(C$3:C$39,MATCH($A43,$A$3:$A$39,0)),IF(ISBLANK(_xlpm.v),NA(),_xlpm.v))</f>
        <v>562</v>
      </c>
      <c r="D43" s="6" cm="1">
        <f t="array" ref="D43">_xlfn.LET(_xlpm.v,INDEX(D$3:D$39,MATCH($A43,$A$3:$A$39,0)),IF(ISBLANK(_xlpm.v),NA(),_xlpm.v))</f>
        <v>584</v>
      </c>
      <c r="E43" s="6" cm="1">
        <f t="array" ref="E43">_xlfn.LET(_xlpm.v,INDEX(E$3:E$39,MATCH($A43,$A$3:$A$39,0)),IF(ISBLANK(_xlpm.v),NA(),_xlpm.v))</f>
        <v>601</v>
      </c>
      <c r="F43" s="6" cm="1">
        <f t="array" ref="F43">_xlfn.LET(_xlpm.v,INDEX(F$3:F$39,MATCH($A43,$A$3:$A$39,0)),IF(ISBLANK(_xlpm.v),NA(),_xlpm.v))</f>
        <v>668</v>
      </c>
      <c r="G43" s="6" t="e" cm="1">
        <f t="array" ref="G43">_xlfn.LET(_xlpm.v,INDEX(G$3:G$39,MATCH($A43,$A$3:$A$39,0)),IF(ISBLANK(_xlpm.v),NA(),_xlpm.v))</f>
        <v>#N/A</v>
      </c>
      <c r="H43" s="6" t="e" cm="1">
        <f t="array" ref="H43">_xlfn.LET(_xlpm.v,INDEX(H$3:H$39,MATCH($A43,$A$3:$A$39,0)),IF(ISBLANK(_xlpm.v),NA(),_xlpm.v))</f>
        <v>#N/A</v>
      </c>
      <c r="I43" s="6" t="e" cm="1">
        <f t="array" ref="I43">_xlfn.LET(_xlpm.v,INDEX(I$3:I$39,MATCH($A43,$A$3:$A$39,0)),IF(ISBLANK(_xlpm.v),NA(),_xlpm.v))</f>
        <v>#N/A</v>
      </c>
      <c r="J43" s="6" t="e" cm="1">
        <f t="array" ref="J43">_xlfn.LET(_xlpm.v,INDEX(J$3:J$39,MATCH($A43,$A$3:$A$39,0)),IF(ISBLANK(_xlpm.v),NA(),_xlpm.v))</f>
        <v>#N/A</v>
      </c>
      <c r="K43" s="6" t="e" cm="1">
        <f t="array" ref="K43">_xlfn.LET(_xlpm.v,INDEX(K$3:K$39,MATCH($A43,$A$3:$A$39,0)),IF(ISBLANK(_xlpm.v),NA(),_xlpm.v))</f>
        <v>#N/A</v>
      </c>
      <c r="L43" s="6" t="e" cm="1">
        <f t="array" ref="L43">_xlfn.LET(_xlpm.v,INDEX(L$3:L$39,MATCH($A43,$A$3:$A$39,0)),IF(ISBLANK(_xlpm.v),NA(),_xlpm.v))</f>
        <v>#N/A</v>
      </c>
      <c r="M43" s="6" t="e" cm="1">
        <f t="array" ref="M43">_xlfn.LET(_xlpm.v,INDEX(M$3:M$39,MATCH($A43,$A$3:$A$39,0)),IF(ISBLANK(_xlpm.v),NA(),_xlpm.v))</f>
        <v>#N/A</v>
      </c>
      <c r="N43" s="6" t="e" cm="1">
        <f t="array" ref="N43">_xlfn.LET(_xlpm.v,INDEX(N$3:N$39,MATCH($A43,$A$3:$A$39,0)),IF(ISBLANK(_xlpm.v),NA(),_xlpm.v))</f>
        <v>#N/A</v>
      </c>
    </row>
    <row r="44" spans="1:14" x14ac:dyDescent="0.4">
      <c r="A44" s="5">
        <v>-85</v>
      </c>
      <c r="B44" s="6" cm="1">
        <f t="array" ref="B44">_xlfn.LET(_xlpm.v,INDEX(B$3:B$39,MATCH($A44,$A$3:$A$39,0)),IF(ISBLANK(_xlpm.v),NA(),_xlpm.v))</f>
        <v>465</v>
      </c>
      <c r="C44" s="6" cm="1">
        <f t="array" ref="C44">_xlfn.LET(_xlpm.v,INDEX(C$3:C$39,MATCH($A44,$A$3:$A$39,0)),IF(ISBLANK(_xlpm.v),NA(),_xlpm.v))</f>
        <v>497</v>
      </c>
      <c r="D44" s="6" cm="1">
        <f t="array" ref="D44">_xlfn.LET(_xlpm.v,INDEX(D$3:D$39,MATCH($A44,$A$3:$A$39,0)),IF(ISBLANK(_xlpm.v),NA(),_xlpm.v))</f>
        <v>530</v>
      </c>
      <c r="E44" s="6" cm="1">
        <f t="array" ref="E44">_xlfn.LET(_xlpm.v,INDEX(E$3:E$39,MATCH($A44,$A$3:$A$39,0)),IF(ISBLANK(_xlpm.v),NA(),_xlpm.v))</f>
        <v>558</v>
      </c>
      <c r="F44" s="6" cm="1">
        <f t="array" ref="F44">_xlfn.LET(_xlpm.v,INDEX(F$3:F$39,MATCH($A44,$A$3:$A$39,0)),IF(ISBLANK(_xlpm.v),NA(),_xlpm.v))</f>
        <v>613</v>
      </c>
      <c r="G44" s="6" t="e" cm="1">
        <f t="array" ref="G44">_xlfn.LET(_xlpm.v,INDEX(G$3:G$39,MATCH($A44,$A$3:$A$39,0)),IF(ISBLANK(_xlpm.v),NA(),_xlpm.v))</f>
        <v>#N/A</v>
      </c>
      <c r="H44" s="6" t="e" cm="1">
        <f t="array" ref="H44">_xlfn.LET(_xlpm.v,INDEX(H$3:H$39,MATCH($A44,$A$3:$A$39,0)),IF(ISBLANK(_xlpm.v),NA(),_xlpm.v))</f>
        <v>#N/A</v>
      </c>
      <c r="I44" s="6" t="e" cm="1">
        <f t="array" ref="I44">_xlfn.LET(_xlpm.v,INDEX(I$3:I$39,MATCH($A44,$A$3:$A$39,0)),IF(ISBLANK(_xlpm.v),NA(),_xlpm.v))</f>
        <v>#N/A</v>
      </c>
      <c r="J44" s="6" t="e" cm="1">
        <f t="array" ref="J44">_xlfn.LET(_xlpm.v,INDEX(J$3:J$39,MATCH($A44,$A$3:$A$39,0)),IF(ISBLANK(_xlpm.v),NA(),_xlpm.v))</f>
        <v>#N/A</v>
      </c>
      <c r="K44" s="6" t="e" cm="1">
        <f t="array" ref="K44">_xlfn.LET(_xlpm.v,INDEX(K$3:K$39,MATCH($A44,$A$3:$A$39,0)),IF(ISBLANK(_xlpm.v),NA(),_xlpm.v))</f>
        <v>#N/A</v>
      </c>
      <c r="L44" s="6" t="e" cm="1">
        <f t="array" ref="L44">_xlfn.LET(_xlpm.v,INDEX(L$3:L$39,MATCH($A44,$A$3:$A$39,0)),IF(ISBLANK(_xlpm.v),NA(),_xlpm.v))</f>
        <v>#N/A</v>
      </c>
      <c r="M44" s="6" t="e" cm="1">
        <f t="array" ref="M44">_xlfn.LET(_xlpm.v,INDEX(M$3:M$39,MATCH($A44,$A$3:$A$39,0)),IF(ISBLANK(_xlpm.v),NA(),_xlpm.v))</f>
        <v>#N/A</v>
      </c>
      <c r="N44" s="6" t="e" cm="1">
        <f t="array" ref="N44">_xlfn.LET(_xlpm.v,INDEX(N$3:N$39,MATCH($A44,$A$3:$A$39,0)),IF(ISBLANK(_xlpm.v),NA(),_xlpm.v))</f>
        <v>#N/A</v>
      </c>
    </row>
    <row r="45" spans="1:14" x14ac:dyDescent="0.4">
      <c r="A45" s="5">
        <v>-80</v>
      </c>
      <c r="B45" s="6" cm="1">
        <f t="array" ref="B45">_xlfn.LET(_xlpm.v,INDEX(B$3:B$39,MATCH($A45,$A$3:$A$39,0)),IF(ISBLANK(_xlpm.v),NA(),_xlpm.v))</f>
        <v>387.9</v>
      </c>
      <c r="C45" s="6" cm="1">
        <f t="array" ref="C45">_xlfn.LET(_xlpm.v,INDEX(C$3:C$39,MATCH($A45,$A$3:$A$39,0)),IF(ISBLANK(_xlpm.v),NA(),_xlpm.v))</f>
        <v>430</v>
      </c>
      <c r="D45" s="6" cm="1">
        <f t="array" ref="D45">_xlfn.LET(_xlpm.v,INDEX(D$3:D$39,MATCH($A45,$A$3:$A$39,0)),IF(ISBLANK(_xlpm.v),NA(),_xlpm.v))</f>
        <v>466</v>
      </c>
      <c r="E45" s="6" cm="1">
        <f t="array" ref="E45">_xlfn.LET(_xlpm.v,INDEX(E$3:E$39,MATCH($A45,$A$3:$A$39,0)),IF(ISBLANK(_xlpm.v),NA(),_xlpm.v))</f>
        <v>489</v>
      </c>
      <c r="F45" s="6" cm="1">
        <f t="array" ref="F45">_xlfn.LET(_xlpm.v,INDEX(F$3:F$39,MATCH($A45,$A$3:$A$39,0)),IF(ISBLANK(_xlpm.v),NA(),_xlpm.v))</f>
        <v>543</v>
      </c>
      <c r="G45" s="6" t="e" cm="1">
        <f t="array" ref="G45">_xlfn.LET(_xlpm.v,INDEX(G$3:G$39,MATCH($A45,$A$3:$A$39,0)),IF(ISBLANK(_xlpm.v),NA(),_xlpm.v))</f>
        <v>#N/A</v>
      </c>
      <c r="H45" s="6" t="e" cm="1">
        <f t="array" ref="H45">_xlfn.LET(_xlpm.v,INDEX(H$3:H$39,MATCH($A45,$A$3:$A$39,0)),IF(ISBLANK(_xlpm.v),NA(),_xlpm.v))</f>
        <v>#N/A</v>
      </c>
      <c r="I45" s="6" t="e" cm="1">
        <f t="array" ref="I45">_xlfn.LET(_xlpm.v,INDEX(I$3:I$39,MATCH($A45,$A$3:$A$39,0)),IF(ISBLANK(_xlpm.v),NA(),_xlpm.v))</f>
        <v>#N/A</v>
      </c>
      <c r="J45" s="6" t="e" cm="1">
        <f t="array" ref="J45">_xlfn.LET(_xlpm.v,INDEX(J$3:J$39,MATCH($A45,$A$3:$A$39,0)),IF(ISBLANK(_xlpm.v),NA(),_xlpm.v))</f>
        <v>#N/A</v>
      </c>
      <c r="K45" s="6" t="e" cm="1">
        <f t="array" ref="K45">_xlfn.LET(_xlpm.v,INDEX(K$3:K$39,MATCH($A45,$A$3:$A$39,0)),IF(ISBLANK(_xlpm.v),NA(),_xlpm.v))</f>
        <v>#N/A</v>
      </c>
      <c r="L45" s="6" t="e" cm="1">
        <f t="array" ref="L45">_xlfn.LET(_xlpm.v,INDEX(L$3:L$39,MATCH($A45,$A$3:$A$39,0)),IF(ISBLANK(_xlpm.v),NA(),_xlpm.v))</f>
        <v>#N/A</v>
      </c>
      <c r="M45" s="6" t="e" cm="1">
        <f t="array" ref="M45">_xlfn.LET(_xlpm.v,INDEX(M$3:M$39,MATCH($A45,$A$3:$A$39,0)),IF(ISBLANK(_xlpm.v),NA(),_xlpm.v))</f>
        <v>#N/A</v>
      </c>
      <c r="N45" s="6" t="e" cm="1">
        <f t="array" ref="N45">_xlfn.LET(_xlpm.v,INDEX(N$3:N$39,MATCH($A45,$A$3:$A$39,0)),IF(ISBLANK(_xlpm.v),NA(),_xlpm.v))</f>
        <v>#N/A</v>
      </c>
    </row>
    <row r="46" spans="1:14" x14ac:dyDescent="0.4">
      <c r="A46" s="5">
        <v>-75</v>
      </c>
      <c r="B46" s="6" cm="1">
        <f t="array" ref="B46">_xlfn.LET(_xlpm.v,INDEX(B$3:B$39,MATCH($A46,$A$3:$A$39,0)),IF(ISBLANK(_xlpm.v),NA(),_xlpm.v))</f>
        <v>324.39999999999998</v>
      </c>
      <c r="C46" s="6" cm="1">
        <f t="array" ref="C46">_xlfn.LET(_xlpm.v,INDEX(C$3:C$39,MATCH($A46,$A$3:$A$39,0)),IF(ISBLANK(_xlpm.v),NA(),_xlpm.v))</f>
        <v>361.5</v>
      </c>
      <c r="D46" s="6" cm="1">
        <f t="array" ref="D46">_xlfn.LET(_xlpm.v,INDEX(D$3:D$39,MATCH($A46,$A$3:$A$39,0)),IF(ISBLANK(_xlpm.v),NA(),_xlpm.v))</f>
        <v>401</v>
      </c>
      <c r="E46" s="6" cm="1">
        <f t="array" ref="E46">_xlfn.LET(_xlpm.v,INDEX(E$3:E$39,MATCH($A46,$A$3:$A$39,0)),IF(ISBLANK(_xlpm.v),NA(),_xlpm.v))</f>
        <v>426</v>
      </c>
      <c r="F46" s="6" cm="1">
        <f t="array" ref="F46">_xlfn.LET(_xlpm.v,INDEX(F$3:F$39,MATCH($A46,$A$3:$A$39,0)),IF(ISBLANK(_xlpm.v),NA(),_xlpm.v))</f>
        <v>476</v>
      </c>
      <c r="G46" s="6" t="e" cm="1">
        <f t="array" ref="G46">_xlfn.LET(_xlpm.v,INDEX(G$3:G$39,MATCH($A46,$A$3:$A$39,0)),IF(ISBLANK(_xlpm.v),NA(),_xlpm.v))</f>
        <v>#N/A</v>
      </c>
      <c r="H46" s="6" t="e" cm="1">
        <f t="array" ref="H46">_xlfn.LET(_xlpm.v,INDEX(H$3:H$39,MATCH($A46,$A$3:$A$39,0)),IF(ISBLANK(_xlpm.v),NA(),_xlpm.v))</f>
        <v>#N/A</v>
      </c>
      <c r="I46" s="6" t="e" cm="1">
        <f t="array" ref="I46">_xlfn.LET(_xlpm.v,INDEX(I$3:I$39,MATCH($A46,$A$3:$A$39,0)),IF(ISBLANK(_xlpm.v),NA(),_xlpm.v))</f>
        <v>#N/A</v>
      </c>
      <c r="J46" s="6" t="e" cm="1">
        <f t="array" ref="J46">_xlfn.LET(_xlpm.v,INDEX(J$3:J$39,MATCH($A46,$A$3:$A$39,0)),IF(ISBLANK(_xlpm.v),NA(),_xlpm.v))</f>
        <v>#N/A</v>
      </c>
      <c r="K46" s="6" t="e" cm="1">
        <f t="array" ref="K46">_xlfn.LET(_xlpm.v,INDEX(K$3:K$39,MATCH($A46,$A$3:$A$39,0)),IF(ISBLANK(_xlpm.v),NA(),_xlpm.v))</f>
        <v>#N/A</v>
      </c>
      <c r="L46" s="6" t="e" cm="1">
        <f t="array" ref="L46">_xlfn.LET(_xlpm.v,INDEX(L$3:L$39,MATCH($A46,$A$3:$A$39,0)),IF(ISBLANK(_xlpm.v),NA(),_xlpm.v))</f>
        <v>#N/A</v>
      </c>
      <c r="M46" s="6" t="e" cm="1">
        <f t="array" ref="M46">_xlfn.LET(_xlpm.v,INDEX(M$3:M$39,MATCH($A46,$A$3:$A$39,0)),IF(ISBLANK(_xlpm.v),NA(),_xlpm.v))</f>
        <v>#N/A</v>
      </c>
      <c r="N46" s="6" t="e" cm="1">
        <f t="array" ref="N46">_xlfn.LET(_xlpm.v,INDEX(N$3:N$39,MATCH($A46,$A$3:$A$39,0)),IF(ISBLANK(_xlpm.v),NA(),_xlpm.v))</f>
        <v>#N/A</v>
      </c>
    </row>
    <row r="47" spans="1:14" x14ac:dyDescent="0.4">
      <c r="A47" s="5">
        <v>-70</v>
      </c>
      <c r="B47" s="6" cm="1">
        <f t="array" ref="B47">_xlfn.LET(_xlpm.v,INDEX(B$3:B$39,MATCH($A47,$A$3:$A$39,0)),IF(ISBLANK(_xlpm.v),NA(),_xlpm.v))</f>
        <v>251.9</v>
      </c>
      <c r="C47" s="6" cm="1">
        <f t="array" ref="C47">_xlfn.LET(_xlpm.v,INDEX(C$3:C$39,MATCH($A47,$A$3:$A$39,0)),IF(ISBLANK(_xlpm.v),NA(),_xlpm.v))</f>
        <v>294.2</v>
      </c>
      <c r="D47" s="6" cm="1">
        <f t="array" ref="D47">_xlfn.LET(_xlpm.v,INDEX(D$3:D$39,MATCH($A47,$A$3:$A$39,0)),IF(ISBLANK(_xlpm.v),NA(),_xlpm.v))</f>
        <v>335</v>
      </c>
      <c r="E47" s="6" cm="1">
        <f t="array" ref="E47">_xlfn.LET(_xlpm.v,INDEX(E$3:E$39,MATCH($A47,$A$3:$A$39,0)),IF(ISBLANK(_xlpm.v),NA(),_xlpm.v))</f>
        <v>358.7</v>
      </c>
      <c r="F47" s="6" cm="1">
        <f t="array" ref="F47">_xlfn.LET(_xlpm.v,INDEX(F$3:F$39,MATCH($A47,$A$3:$A$39,0)),IF(ISBLANK(_xlpm.v),NA(),_xlpm.v))</f>
        <v>405</v>
      </c>
      <c r="G47" s="6" t="e" cm="1">
        <f t="array" ref="G47">_xlfn.LET(_xlpm.v,INDEX(G$3:G$39,MATCH($A47,$A$3:$A$39,0)),IF(ISBLANK(_xlpm.v),NA(),_xlpm.v))</f>
        <v>#N/A</v>
      </c>
      <c r="H47" s="6" t="e" cm="1">
        <f t="array" ref="H47">_xlfn.LET(_xlpm.v,INDEX(H$3:H$39,MATCH($A47,$A$3:$A$39,0)),IF(ISBLANK(_xlpm.v),NA(),_xlpm.v))</f>
        <v>#N/A</v>
      </c>
      <c r="I47" s="6" t="e" cm="1">
        <f t="array" ref="I47">_xlfn.LET(_xlpm.v,INDEX(I$3:I$39,MATCH($A47,$A$3:$A$39,0)),IF(ISBLANK(_xlpm.v),NA(),_xlpm.v))</f>
        <v>#N/A</v>
      </c>
      <c r="J47" s="6" t="e" cm="1">
        <f t="array" ref="J47">_xlfn.LET(_xlpm.v,INDEX(J$3:J$39,MATCH($A47,$A$3:$A$39,0)),IF(ISBLANK(_xlpm.v),NA(),_xlpm.v))</f>
        <v>#N/A</v>
      </c>
      <c r="K47" s="6" t="e" cm="1">
        <f t="array" ref="K47">_xlfn.LET(_xlpm.v,INDEX(K$3:K$39,MATCH($A47,$A$3:$A$39,0)),IF(ISBLANK(_xlpm.v),NA(),_xlpm.v))</f>
        <v>#N/A</v>
      </c>
      <c r="L47" s="6" t="e" cm="1">
        <f t="array" ref="L47">_xlfn.LET(_xlpm.v,INDEX(L$3:L$39,MATCH($A47,$A$3:$A$39,0)),IF(ISBLANK(_xlpm.v),NA(),_xlpm.v))</f>
        <v>#N/A</v>
      </c>
      <c r="M47" s="6" t="e" cm="1">
        <f t="array" ref="M47">_xlfn.LET(_xlpm.v,INDEX(M$3:M$39,MATCH($A47,$A$3:$A$39,0)),IF(ISBLANK(_xlpm.v),NA(),_xlpm.v))</f>
        <v>#N/A</v>
      </c>
      <c r="N47" s="6" t="e" cm="1">
        <f t="array" ref="N47">_xlfn.LET(_xlpm.v,INDEX(N$3:N$39,MATCH($A47,$A$3:$A$39,0)),IF(ISBLANK(_xlpm.v),NA(),_xlpm.v))</f>
        <v>#N/A</v>
      </c>
    </row>
    <row r="48" spans="1:14" x14ac:dyDescent="0.4">
      <c r="A48" s="5">
        <v>-65</v>
      </c>
      <c r="B48" s="6" cm="1">
        <f t="array" ref="B48">_xlfn.LET(_xlpm.v,INDEX(B$3:B$39,MATCH($A48,$A$3:$A$39,0)),IF(ISBLANK(_xlpm.v),NA(),_xlpm.v))</f>
        <v>192.5</v>
      </c>
      <c r="C48" s="6" cm="1">
        <f t="array" ref="C48">_xlfn.LET(_xlpm.v,INDEX(C$3:C$39,MATCH($A48,$A$3:$A$39,0)),IF(ISBLANK(_xlpm.v),NA(),_xlpm.v))</f>
        <v>230.02</v>
      </c>
      <c r="D48" s="6" cm="1">
        <f t="array" ref="D48">_xlfn.LET(_xlpm.v,INDEX(D$3:D$39,MATCH($A48,$A$3:$A$39,0)),IF(ISBLANK(_xlpm.v),NA(),_xlpm.v))</f>
        <v>260.7</v>
      </c>
      <c r="E48" s="6" cm="1">
        <f t="array" ref="E48">_xlfn.LET(_xlpm.v,INDEX(E$3:E$39,MATCH($A48,$A$3:$A$39,0)),IF(ISBLANK(_xlpm.v),NA(),_xlpm.v))</f>
        <v>292.3</v>
      </c>
      <c r="F48" s="6" cm="1">
        <f t="array" ref="F48">_xlfn.LET(_xlpm.v,INDEX(F$3:F$39,MATCH($A48,$A$3:$A$39,0)),IF(ISBLANK(_xlpm.v),NA(),_xlpm.v))</f>
        <v>343</v>
      </c>
      <c r="G48" s="6" t="e" cm="1">
        <f t="array" ref="G48">_xlfn.LET(_xlpm.v,INDEX(G$3:G$39,MATCH($A48,$A$3:$A$39,0)),IF(ISBLANK(_xlpm.v),NA(),_xlpm.v))</f>
        <v>#N/A</v>
      </c>
      <c r="H48" s="6" t="e" cm="1">
        <f t="array" ref="H48">_xlfn.LET(_xlpm.v,INDEX(H$3:H$39,MATCH($A48,$A$3:$A$39,0)),IF(ISBLANK(_xlpm.v),NA(),_xlpm.v))</f>
        <v>#N/A</v>
      </c>
      <c r="I48" s="6" t="e" cm="1">
        <f t="array" ref="I48">_xlfn.LET(_xlpm.v,INDEX(I$3:I$39,MATCH($A48,$A$3:$A$39,0)),IF(ISBLANK(_xlpm.v),NA(),_xlpm.v))</f>
        <v>#N/A</v>
      </c>
      <c r="J48" s="6" t="e" cm="1">
        <f t="array" ref="J48">_xlfn.LET(_xlpm.v,INDEX(J$3:J$39,MATCH($A48,$A$3:$A$39,0)),IF(ISBLANK(_xlpm.v),NA(),_xlpm.v))</f>
        <v>#N/A</v>
      </c>
      <c r="K48" s="6" t="e" cm="1">
        <f t="array" ref="K48">_xlfn.LET(_xlpm.v,INDEX(K$3:K$39,MATCH($A48,$A$3:$A$39,0)),IF(ISBLANK(_xlpm.v),NA(),_xlpm.v))</f>
        <v>#N/A</v>
      </c>
      <c r="L48" s="6" t="e" cm="1">
        <f t="array" ref="L48">_xlfn.LET(_xlpm.v,INDEX(L$3:L$39,MATCH($A48,$A$3:$A$39,0)),IF(ISBLANK(_xlpm.v),NA(),_xlpm.v))</f>
        <v>#N/A</v>
      </c>
      <c r="M48" s="6" t="e" cm="1">
        <f t="array" ref="M48">_xlfn.LET(_xlpm.v,INDEX(M$3:M$39,MATCH($A48,$A$3:$A$39,0)),IF(ISBLANK(_xlpm.v),NA(),_xlpm.v))</f>
        <v>#N/A</v>
      </c>
      <c r="N48" s="6" t="e" cm="1">
        <f t="array" ref="N48">_xlfn.LET(_xlpm.v,INDEX(N$3:N$39,MATCH($A48,$A$3:$A$39,0)),IF(ISBLANK(_xlpm.v),NA(),_xlpm.v))</f>
        <v>#N/A</v>
      </c>
    </row>
    <row r="49" spans="1:14" x14ac:dyDescent="0.4">
      <c r="A49" s="5">
        <v>-60</v>
      </c>
      <c r="B49" s="6" cm="1">
        <f t="array" ref="B49">_xlfn.LET(_xlpm.v,INDEX(B$3:B$39,MATCH($A49,$A$3:$A$39,0)),IF(ISBLANK(_xlpm.v),NA(),_xlpm.v))</f>
        <v>136.80000000000001</v>
      </c>
      <c r="C49" s="6" cm="1">
        <f t="array" ref="C49">_xlfn.LET(_xlpm.v,INDEX(C$3:C$39,MATCH($A49,$A$3:$A$39,0)),IF(ISBLANK(_xlpm.v),NA(),_xlpm.v))</f>
        <v>171.8</v>
      </c>
      <c r="D49" s="6" cm="1">
        <f t="array" ref="D49">_xlfn.LET(_xlpm.v,INDEX(D$3:D$39,MATCH($A49,$A$3:$A$39,0)),IF(ISBLANK(_xlpm.v),NA(),_xlpm.v))</f>
        <v>203.4</v>
      </c>
      <c r="E49" s="6" cm="1">
        <f t="array" ref="E49">_xlfn.LET(_xlpm.v,INDEX(E$3:E$39,MATCH($A49,$A$3:$A$39,0)),IF(ISBLANK(_xlpm.v),NA(),_xlpm.v))</f>
        <v>231.3</v>
      </c>
      <c r="F49" s="6" cm="1">
        <f t="array" ref="F49">_xlfn.LET(_xlpm.v,INDEX(F$3:F$39,MATCH($A49,$A$3:$A$39,0)),IF(ISBLANK(_xlpm.v),NA(),_xlpm.v))</f>
        <v>275</v>
      </c>
      <c r="G49" s="6" t="e" cm="1">
        <f t="array" ref="G49">_xlfn.LET(_xlpm.v,INDEX(G$3:G$39,MATCH($A49,$A$3:$A$39,0)),IF(ISBLANK(_xlpm.v),NA(),_xlpm.v))</f>
        <v>#N/A</v>
      </c>
      <c r="H49" s="6" t="e" cm="1">
        <f t="array" ref="H49">_xlfn.LET(_xlpm.v,INDEX(H$3:H$39,MATCH($A49,$A$3:$A$39,0)),IF(ISBLANK(_xlpm.v),NA(),_xlpm.v))</f>
        <v>#N/A</v>
      </c>
      <c r="I49" s="6" t="e" cm="1">
        <f t="array" ref="I49">_xlfn.LET(_xlpm.v,INDEX(I$3:I$39,MATCH($A49,$A$3:$A$39,0)),IF(ISBLANK(_xlpm.v),NA(),_xlpm.v))</f>
        <v>#N/A</v>
      </c>
      <c r="J49" s="6" t="e" cm="1">
        <f t="array" ref="J49">_xlfn.LET(_xlpm.v,INDEX(J$3:J$39,MATCH($A49,$A$3:$A$39,0)),IF(ISBLANK(_xlpm.v),NA(),_xlpm.v))</f>
        <v>#N/A</v>
      </c>
      <c r="K49" s="6" t="e" cm="1">
        <f t="array" ref="K49">_xlfn.LET(_xlpm.v,INDEX(K$3:K$39,MATCH($A49,$A$3:$A$39,0)),IF(ISBLANK(_xlpm.v),NA(),_xlpm.v))</f>
        <v>#N/A</v>
      </c>
      <c r="L49" s="6" t="e" cm="1">
        <f t="array" ref="L49">_xlfn.LET(_xlpm.v,INDEX(L$3:L$39,MATCH($A49,$A$3:$A$39,0)),IF(ISBLANK(_xlpm.v),NA(),_xlpm.v))</f>
        <v>#N/A</v>
      </c>
      <c r="M49" s="6" t="e" cm="1">
        <f t="array" ref="M49">_xlfn.LET(_xlpm.v,INDEX(M$3:M$39,MATCH($A49,$A$3:$A$39,0)),IF(ISBLANK(_xlpm.v),NA(),_xlpm.v))</f>
        <v>#N/A</v>
      </c>
      <c r="N49" s="6" t="e" cm="1">
        <f t="array" ref="N49">_xlfn.LET(_xlpm.v,INDEX(N$3:N$39,MATCH($A49,$A$3:$A$39,0)),IF(ISBLANK(_xlpm.v),NA(),_xlpm.v))</f>
        <v>#N/A</v>
      </c>
    </row>
    <row r="50" spans="1:14" x14ac:dyDescent="0.4">
      <c r="A50" s="5">
        <v>-55</v>
      </c>
      <c r="B50" s="6" cm="1">
        <f t="array" ref="B50">_xlfn.LET(_xlpm.v,INDEX(B$3:B$39,MATCH($A50,$A$3:$A$39,0)),IF(ISBLANK(_xlpm.v),NA(),_xlpm.v))</f>
        <v>90.6</v>
      </c>
      <c r="C50" s="6" cm="1">
        <f t="array" ref="C50">_xlfn.LET(_xlpm.v,INDEX(C$3:C$39,MATCH($A50,$A$3:$A$39,0)),IF(ISBLANK(_xlpm.v),NA(),_xlpm.v))</f>
        <v>125.1</v>
      </c>
      <c r="D50" s="6" cm="1">
        <f t="array" ref="D50">_xlfn.LET(_xlpm.v,INDEX(D$3:D$39,MATCH($A50,$A$3:$A$39,0)),IF(ISBLANK(_xlpm.v),NA(),_xlpm.v))</f>
        <v>152.4</v>
      </c>
      <c r="E50" s="6" cm="1">
        <f t="array" ref="E50">_xlfn.LET(_xlpm.v,INDEX(E$3:E$39,MATCH($A50,$A$3:$A$39,0)),IF(ISBLANK(_xlpm.v),NA(),_xlpm.v))</f>
        <v>177.9</v>
      </c>
      <c r="F50" s="6" cm="1">
        <f t="array" ref="F50">_xlfn.LET(_xlpm.v,INDEX(F$3:F$39,MATCH($A50,$A$3:$A$39,0)),IF(ISBLANK(_xlpm.v),NA(),_xlpm.v))</f>
        <v>210</v>
      </c>
      <c r="G50" s="6" t="e" cm="1">
        <f t="array" ref="G50">_xlfn.LET(_xlpm.v,INDEX(G$3:G$39,MATCH($A50,$A$3:$A$39,0)),IF(ISBLANK(_xlpm.v),NA(),_xlpm.v))</f>
        <v>#N/A</v>
      </c>
      <c r="H50" s="6" t="e" cm="1">
        <f t="array" ref="H50">_xlfn.LET(_xlpm.v,INDEX(H$3:H$39,MATCH($A50,$A$3:$A$39,0)),IF(ISBLANK(_xlpm.v),NA(),_xlpm.v))</f>
        <v>#N/A</v>
      </c>
      <c r="I50" s="6" t="e" cm="1">
        <f t="array" ref="I50">_xlfn.LET(_xlpm.v,INDEX(I$3:I$39,MATCH($A50,$A$3:$A$39,0)),IF(ISBLANK(_xlpm.v),NA(),_xlpm.v))</f>
        <v>#N/A</v>
      </c>
      <c r="J50" s="6" t="e" cm="1">
        <f t="array" ref="J50">_xlfn.LET(_xlpm.v,INDEX(J$3:J$39,MATCH($A50,$A$3:$A$39,0)),IF(ISBLANK(_xlpm.v),NA(),_xlpm.v))</f>
        <v>#N/A</v>
      </c>
      <c r="K50" s="6" t="e" cm="1">
        <f t="array" ref="K50">_xlfn.LET(_xlpm.v,INDEX(K$3:K$39,MATCH($A50,$A$3:$A$39,0)),IF(ISBLANK(_xlpm.v),NA(),_xlpm.v))</f>
        <v>#N/A</v>
      </c>
      <c r="L50" s="6" t="e" cm="1">
        <f t="array" ref="L50">_xlfn.LET(_xlpm.v,INDEX(L$3:L$39,MATCH($A50,$A$3:$A$39,0)),IF(ISBLANK(_xlpm.v),NA(),_xlpm.v))</f>
        <v>#N/A</v>
      </c>
      <c r="M50" s="6" t="e" cm="1">
        <f t="array" ref="M50">_xlfn.LET(_xlpm.v,INDEX(M$3:M$39,MATCH($A50,$A$3:$A$39,0)),IF(ISBLANK(_xlpm.v),NA(),_xlpm.v))</f>
        <v>#N/A</v>
      </c>
      <c r="N50" s="6" t="e" cm="1">
        <f t="array" ref="N50">_xlfn.LET(_xlpm.v,INDEX(N$3:N$39,MATCH($A50,$A$3:$A$39,0)),IF(ISBLANK(_xlpm.v),NA(),_xlpm.v))</f>
        <v>#N/A</v>
      </c>
    </row>
    <row r="51" spans="1:14" x14ac:dyDescent="0.4">
      <c r="A51" s="5">
        <v>-50</v>
      </c>
      <c r="B51" s="6" cm="1">
        <f t="array" ref="B51">_xlfn.LET(_xlpm.v,INDEX(B$3:B$39,MATCH($A51,$A$3:$A$39,0)),IF(ISBLANK(_xlpm.v),NA(),_xlpm.v))</f>
        <v>54.6</v>
      </c>
      <c r="C51" s="6" cm="1">
        <f t="array" ref="C51">_xlfn.LET(_xlpm.v,INDEX(C$3:C$39,MATCH($A51,$A$3:$A$39,0)),IF(ISBLANK(_xlpm.v),NA(),_xlpm.v))</f>
        <v>77.3</v>
      </c>
      <c r="D51" s="6" cm="1">
        <f t="array" ref="D51">_xlfn.LET(_xlpm.v,INDEX(D$3:D$39,MATCH($A51,$A$3:$A$39,0)),IF(ISBLANK(_xlpm.v),NA(),_xlpm.v))</f>
        <v>106</v>
      </c>
      <c r="E51" s="6" cm="1">
        <f t="array" ref="E51">_xlfn.LET(_xlpm.v,INDEX(E$3:E$39,MATCH($A51,$A$3:$A$39,0)),IF(ISBLANK(_xlpm.v),NA(),_xlpm.v))</f>
        <v>127</v>
      </c>
      <c r="F51" s="6" cm="1">
        <f t="array" ref="F51">_xlfn.LET(_xlpm.v,INDEX(F$3:F$39,MATCH($A51,$A$3:$A$39,0)),IF(ISBLANK(_xlpm.v),NA(),_xlpm.v))</f>
        <v>159</v>
      </c>
      <c r="G51" s="6" t="e" cm="1">
        <f t="array" ref="G51">_xlfn.LET(_xlpm.v,INDEX(G$3:G$39,MATCH($A51,$A$3:$A$39,0)),IF(ISBLANK(_xlpm.v),NA(),_xlpm.v))</f>
        <v>#N/A</v>
      </c>
      <c r="H51" s="6" t="e" cm="1">
        <f t="array" ref="H51">_xlfn.LET(_xlpm.v,INDEX(H$3:H$39,MATCH($A51,$A$3:$A$39,0)),IF(ISBLANK(_xlpm.v),NA(),_xlpm.v))</f>
        <v>#N/A</v>
      </c>
      <c r="I51" s="6" t="e" cm="1">
        <f t="array" ref="I51">_xlfn.LET(_xlpm.v,INDEX(I$3:I$39,MATCH($A51,$A$3:$A$39,0)),IF(ISBLANK(_xlpm.v),NA(),_xlpm.v))</f>
        <v>#N/A</v>
      </c>
      <c r="J51" s="6" t="e" cm="1">
        <f t="array" ref="J51">_xlfn.LET(_xlpm.v,INDEX(J$3:J$39,MATCH($A51,$A$3:$A$39,0)),IF(ISBLANK(_xlpm.v),NA(),_xlpm.v))</f>
        <v>#N/A</v>
      </c>
      <c r="K51" s="6" t="e" cm="1">
        <f t="array" ref="K51">_xlfn.LET(_xlpm.v,INDEX(K$3:K$39,MATCH($A51,$A$3:$A$39,0)),IF(ISBLANK(_xlpm.v),NA(),_xlpm.v))</f>
        <v>#N/A</v>
      </c>
      <c r="L51" s="6" t="e" cm="1">
        <f t="array" ref="L51">_xlfn.LET(_xlpm.v,INDEX(L$3:L$39,MATCH($A51,$A$3:$A$39,0)),IF(ISBLANK(_xlpm.v),NA(),_xlpm.v))</f>
        <v>#N/A</v>
      </c>
      <c r="M51" s="6" t="e" cm="1">
        <f t="array" ref="M51">_xlfn.LET(_xlpm.v,INDEX(M$3:M$39,MATCH($A51,$A$3:$A$39,0)),IF(ISBLANK(_xlpm.v),NA(),_xlpm.v))</f>
        <v>#N/A</v>
      </c>
      <c r="N51" s="6" t="e" cm="1">
        <f t="array" ref="N51">_xlfn.LET(_xlpm.v,INDEX(N$3:N$39,MATCH($A51,$A$3:$A$39,0)),IF(ISBLANK(_xlpm.v),NA(),_xlpm.v))</f>
        <v>#N/A</v>
      </c>
    </row>
    <row r="52" spans="1:14" x14ac:dyDescent="0.4">
      <c r="A52" s="5">
        <v>-45</v>
      </c>
      <c r="B52" s="6" cm="1">
        <f t="array" ref="B52">_xlfn.LET(_xlpm.v,INDEX(B$3:B$39,MATCH($A52,$A$3:$A$39,0)),IF(ISBLANK(_xlpm.v),NA(),_xlpm.v))</f>
        <v>27.3</v>
      </c>
      <c r="C52" s="6" cm="1">
        <f t="array" ref="C52">_xlfn.LET(_xlpm.v,INDEX(C$3:C$39,MATCH($A52,$A$3:$A$39,0)),IF(ISBLANK(_xlpm.v),NA(),_xlpm.v))</f>
        <v>45.9</v>
      </c>
      <c r="D52" s="6" cm="1">
        <f t="array" ref="D52">_xlfn.LET(_xlpm.v,INDEX(D$3:D$39,MATCH($A52,$A$3:$A$39,0)),IF(ISBLANK(_xlpm.v),NA(),_xlpm.v))</f>
        <v>63.9</v>
      </c>
      <c r="E52" s="6" cm="1">
        <f t="array" ref="E52">_xlfn.LET(_xlpm.v,INDEX(E$3:E$39,MATCH($A52,$A$3:$A$39,0)),IF(ISBLANK(_xlpm.v),NA(),_xlpm.v))</f>
        <v>82.3</v>
      </c>
      <c r="F52" s="6" cm="1">
        <f t="array" ref="F52">_xlfn.LET(_xlpm.v,INDEX(F$3:F$39,MATCH($A52,$A$3:$A$39,0)),IF(ISBLANK(_xlpm.v),NA(),_xlpm.v))</f>
        <v>113</v>
      </c>
      <c r="G52" s="6" t="e" cm="1">
        <f t="array" ref="G52">_xlfn.LET(_xlpm.v,INDEX(G$3:G$39,MATCH($A52,$A$3:$A$39,0)),IF(ISBLANK(_xlpm.v),NA(),_xlpm.v))</f>
        <v>#N/A</v>
      </c>
      <c r="H52" s="6" t="e" cm="1">
        <f t="array" ref="H52">_xlfn.LET(_xlpm.v,INDEX(H$3:H$39,MATCH($A52,$A$3:$A$39,0)),IF(ISBLANK(_xlpm.v),NA(),_xlpm.v))</f>
        <v>#N/A</v>
      </c>
      <c r="I52" s="6" t="e" cm="1">
        <f t="array" ref="I52">_xlfn.LET(_xlpm.v,INDEX(I$3:I$39,MATCH($A52,$A$3:$A$39,0)),IF(ISBLANK(_xlpm.v),NA(),_xlpm.v))</f>
        <v>#N/A</v>
      </c>
      <c r="J52" s="6" t="e" cm="1">
        <f t="array" ref="J52">_xlfn.LET(_xlpm.v,INDEX(J$3:J$39,MATCH($A52,$A$3:$A$39,0)),IF(ISBLANK(_xlpm.v),NA(),_xlpm.v))</f>
        <v>#N/A</v>
      </c>
      <c r="K52" s="6" t="e" cm="1">
        <f t="array" ref="K52">_xlfn.LET(_xlpm.v,INDEX(K$3:K$39,MATCH($A52,$A$3:$A$39,0)),IF(ISBLANK(_xlpm.v),NA(),_xlpm.v))</f>
        <v>#N/A</v>
      </c>
      <c r="L52" s="6" t="e" cm="1">
        <f t="array" ref="L52">_xlfn.LET(_xlpm.v,INDEX(L$3:L$39,MATCH($A52,$A$3:$A$39,0)),IF(ISBLANK(_xlpm.v),NA(),_xlpm.v))</f>
        <v>#N/A</v>
      </c>
      <c r="M52" s="6" t="e" cm="1">
        <f t="array" ref="M52">_xlfn.LET(_xlpm.v,INDEX(M$3:M$39,MATCH($A52,$A$3:$A$39,0)),IF(ISBLANK(_xlpm.v),NA(),_xlpm.v))</f>
        <v>#N/A</v>
      </c>
      <c r="N52" s="6" t="e" cm="1">
        <f t="array" ref="N52">_xlfn.LET(_xlpm.v,INDEX(N$3:N$39,MATCH($A52,$A$3:$A$39,0)),IF(ISBLANK(_xlpm.v),NA(),_xlpm.v))</f>
        <v>#N/A</v>
      </c>
    </row>
    <row r="53" spans="1:14" x14ac:dyDescent="0.4">
      <c r="A53" s="5">
        <v>-40</v>
      </c>
      <c r="B53" s="6" cm="1">
        <f t="array" ref="B53">_xlfn.LET(_xlpm.v,INDEX(B$3:B$39,MATCH($A53,$A$3:$A$39,0)),IF(ISBLANK(_xlpm.v),NA(),_xlpm.v))</f>
        <v>12.54</v>
      </c>
      <c r="C53" s="6" cm="1">
        <f t="array" ref="C53">_xlfn.LET(_xlpm.v,INDEX(C$3:C$39,MATCH($A53,$A$3:$A$39,0)),IF(ISBLANK(_xlpm.v),NA(),_xlpm.v))</f>
        <v>22.65</v>
      </c>
      <c r="D53" s="6" cm="1">
        <f t="array" ref="D53">_xlfn.LET(_xlpm.v,INDEX(D$3:D$39,MATCH($A53,$A$3:$A$39,0)),IF(ISBLANK(_xlpm.v),NA(),_xlpm.v))</f>
        <v>37.450000000000003</v>
      </c>
      <c r="E53" s="6" cm="1">
        <f t="array" ref="E53">_xlfn.LET(_xlpm.v,INDEX(E$3:E$39,MATCH($A53,$A$3:$A$39,0)),IF(ISBLANK(_xlpm.v),NA(),_xlpm.v))</f>
        <v>47.1</v>
      </c>
      <c r="F53" s="6" cm="1">
        <f t="array" ref="F53">_xlfn.LET(_xlpm.v,INDEX(F$3:F$39,MATCH($A53,$A$3:$A$39,0)),IF(ISBLANK(_xlpm.v),NA(),_xlpm.v))</f>
        <v>70.599999999999994</v>
      </c>
      <c r="G53" s="6" t="e" cm="1">
        <f t="array" ref="G53">_xlfn.LET(_xlpm.v,INDEX(G$3:G$39,MATCH($A53,$A$3:$A$39,0)),IF(ISBLANK(_xlpm.v),NA(),_xlpm.v))</f>
        <v>#N/A</v>
      </c>
      <c r="H53" s="6" t="e" cm="1">
        <f t="array" ref="H53">_xlfn.LET(_xlpm.v,INDEX(H$3:H$39,MATCH($A53,$A$3:$A$39,0)),IF(ISBLANK(_xlpm.v),NA(),_xlpm.v))</f>
        <v>#N/A</v>
      </c>
      <c r="I53" s="6" t="e" cm="1">
        <f t="array" ref="I53">_xlfn.LET(_xlpm.v,INDEX(I$3:I$39,MATCH($A53,$A$3:$A$39,0)),IF(ISBLANK(_xlpm.v),NA(),_xlpm.v))</f>
        <v>#N/A</v>
      </c>
      <c r="J53" s="6" t="e" cm="1">
        <f t="array" ref="J53">_xlfn.LET(_xlpm.v,INDEX(J$3:J$39,MATCH($A53,$A$3:$A$39,0)),IF(ISBLANK(_xlpm.v),NA(),_xlpm.v))</f>
        <v>#N/A</v>
      </c>
      <c r="K53" s="6" t="e" cm="1">
        <f t="array" ref="K53">_xlfn.LET(_xlpm.v,INDEX(K$3:K$39,MATCH($A53,$A$3:$A$39,0)),IF(ISBLANK(_xlpm.v),NA(),_xlpm.v))</f>
        <v>#N/A</v>
      </c>
      <c r="L53" s="6" t="e" cm="1">
        <f t="array" ref="L53">_xlfn.LET(_xlpm.v,INDEX(L$3:L$39,MATCH($A53,$A$3:$A$39,0)),IF(ISBLANK(_xlpm.v),NA(),_xlpm.v))</f>
        <v>#N/A</v>
      </c>
      <c r="M53" s="6" t="e" cm="1">
        <f t="array" ref="M53">_xlfn.LET(_xlpm.v,INDEX(M$3:M$39,MATCH($A53,$A$3:$A$39,0)),IF(ISBLANK(_xlpm.v),NA(),_xlpm.v))</f>
        <v>#N/A</v>
      </c>
      <c r="N53" s="6" t="e" cm="1">
        <f t="array" ref="N53">_xlfn.LET(_xlpm.v,INDEX(N$3:N$39,MATCH($A53,$A$3:$A$39,0)),IF(ISBLANK(_xlpm.v),NA(),_xlpm.v))</f>
        <v>#N/A</v>
      </c>
    </row>
    <row r="54" spans="1:14" x14ac:dyDescent="0.4">
      <c r="A54" s="5">
        <v>-35</v>
      </c>
      <c r="B54" s="6" cm="1">
        <f t="array" ref="B54">_xlfn.LET(_xlpm.v,INDEX(B$3:B$39,MATCH($A54,$A$3:$A$39,0)),IF(ISBLANK(_xlpm.v),NA(),_xlpm.v))</f>
        <v>12.73</v>
      </c>
      <c r="C54" s="6" cm="1">
        <f t="array" ref="C54">_xlfn.LET(_xlpm.v,INDEX(C$3:C$39,MATCH($A54,$A$3:$A$39,0)),IF(ISBLANK(_xlpm.v),NA(),_xlpm.v))</f>
        <v>11.92</v>
      </c>
      <c r="D54" s="6" cm="1">
        <f t="array" ref="D54">_xlfn.LET(_xlpm.v,INDEX(D$3:D$39,MATCH($A54,$A$3:$A$39,0)),IF(ISBLANK(_xlpm.v),NA(),_xlpm.v))</f>
        <v>16.46</v>
      </c>
      <c r="E54" s="6" cm="1">
        <f t="array" ref="E54">_xlfn.LET(_xlpm.v,INDEX(E$3:E$39,MATCH($A54,$A$3:$A$39,0)),IF(ISBLANK(_xlpm.v),NA(),_xlpm.v))</f>
        <v>25.12</v>
      </c>
      <c r="F54" s="6" cm="1">
        <f t="array" ref="F54">_xlfn.LET(_xlpm.v,INDEX(F$3:F$39,MATCH($A54,$A$3:$A$39,0)),IF(ISBLANK(_xlpm.v),NA(),_xlpm.v))</f>
        <v>37.96</v>
      </c>
      <c r="G54" s="6" t="e" cm="1">
        <f t="array" ref="G54">_xlfn.LET(_xlpm.v,INDEX(G$3:G$39,MATCH($A54,$A$3:$A$39,0)),IF(ISBLANK(_xlpm.v),NA(),_xlpm.v))</f>
        <v>#N/A</v>
      </c>
      <c r="H54" s="6" t="e" cm="1">
        <f t="array" ref="H54">_xlfn.LET(_xlpm.v,INDEX(H$3:H$39,MATCH($A54,$A$3:$A$39,0)),IF(ISBLANK(_xlpm.v),NA(),_xlpm.v))</f>
        <v>#N/A</v>
      </c>
      <c r="I54" s="6" t="e" cm="1">
        <f t="array" ref="I54">_xlfn.LET(_xlpm.v,INDEX(I$3:I$39,MATCH($A54,$A$3:$A$39,0)),IF(ISBLANK(_xlpm.v),NA(),_xlpm.v))</f>
        <v>#N/A</v>
      </c>
      <c r="J54" s="6" t="e" cm="1">
        <f t="array" ref="J54">_xlfn.LET(_xlpm.v,INDEX(J$3:J$39,MATCH($A54,$A$3:$A$39,0)),IF(ISBLANK(_xlpm.v),NA(),_xlpm.v))</f>
        <v>#N/A</v>
      </c>
      <c r="K54" s="6" t="e" cm="1">
        <f t="array" ref="K54">_xlfn.LET(_xlpm.v,INDEX(K$3:K$39,MATCH($A54,$A$3:$A$39,0)),IF(ISBLANK(_xlpm.v),NA(),_xlpm.v))</f>
        <v>#N/A</v>
      </c>
      <c r="L54" s="6" t="e" cm="1">
        <f t="array" ref="L54">_xlfn.LET(_xlpm.v,INDEX(L$3:L$39,MATCH($A54,$A$3:$A$39,0)),IF(ISBLANK(_xlpm.v),NA(),_xlpm.v))</f>
        <v>#N/A</v>
      </c>
      <c r="M54" s="6" t="e" cm="1">
        <f t="array" ref="M54">_xlfn.LET(_xlpm.v,INDEX(M$3:M$39,MATCH($A54,$A$3:$A$39,0)),IF(ISBLANK(_xlpm.v),NA(),_xlpm.v))</f>
        <v>#N/A</v>
      </c>
      <c r="N54" s="6" t="e" cm="1">
        <f t="array" ref="N54">_xlfn.LET(_xlpm.v,INDEX(N$3:N$39,MATCH($A54,$A$3:$A$39,0)),IF(ISBLANK(_xlpm.v),NA(),_xlpm.v))</f>
        <v>#N/A</v>
      </c>
    </row>
    <row r="55" spans="1:14" x14ac:dyDescent="0.4">
      <c r="A55" s="5">
        <v>-30</v>
      </c>
      <c r="B55" s="6" cm="1">
        <f t="array" ref="B55">_xlfn.LET(_xlpm.v,INDEX(B$3:B$39,MATCH($A55,$A$3:$A$39,0)),IF(ISBLANK(_xlpm.v),NA(),_xlpm.v))</f>
        <v>26.5</v>
      </c>
      <c r="C55" s="6" cm="1">
        <f t="array" ref="C55">_xlfn.LET(_xlpm.v,INDEX(C$3:C$39,MATCH($A55,$A$3:$A$39,0)),IF(ISBLANK(_xlpm.v),NA(),_xlpm.v))</f>
        <v>11.01</v>
      </c>
      <c r="D55" s="6" cm="1">
        <f t="array" ref="D55">_xlfn.LET(_xlpm.v,INDEX(D$3:D$39,MATCH($A55,$A$3:$A$39,0)),IF(ISBLANK(_xlpm.v),NA(),_xlpm.v))</f>
        <v>9.33</v>
      </c>
      <c r="E55" s="6" cm="1">
        <f t="array" ref="E55">_xlfn.LET(_xlpm.v,INDEX(E$3:E$39,MATCH($A55,$A$3:$A$39,0)),IF(ISBLANK(_xlpm.v),NA(),_xlpm.v))</f>
        <v>11.55</v>
      </c>
      <c r="F55" s="6" cm="1">
        <f t="array" ref="F55">_xlfn.LET(_xlpm.v,INDEX(F$3:F$39,MATCH($A55,$A$3:$A$39,0)),IF(ISBLANK(_xlpm.v),NA(),_xlpm.v))</f>
        <v>18.93</v>
      </c>
      <c r="G55" s="6" t="e" cm="1">
        <f t="array" ref="G55">_xlfn.LET(_xlpm.v,INDEX(G$3:G$39,MATCH($A55,$A$3:$A$39,0)),IF(ISBLANK(_xlpm.v),NA(),_xlpm.v))</f>
        <v>#N/A</v>
      </c>
      <c r="H55" s="6" t="e" cm="1">
        <f t="array" ref="H55">_xlfn.LET(_xlpm.v,INDEX(H$3:H$39,MATCH($A55,$A$3:$A$39,0)),IF(ISBLANK(_xlpm.v),NA(),_xlpm.v))</f>
        <v>#N/A</v>
      </c>
      <c r="I55" s="6" t="e" cm="1">
        <f t="array" ref="I55">_xlfn.LET(_xlpm.v,INDEX(I$3:I$39,MATCH($A55,$A$3:$A$39,0)),IF(ISBLANK(_xlpm.v),NA(),_xlpm.v))</f>
        <v>#N/A</v>
      </c>
      <c r="J55" s="6" t="e" cm="1">
        <f t="array" ref="J55">_xlfn.LET(_xlpm.v,INDEX(J$3:J$39,MATCH($A55,$A$3:$A$39,0)),IF(ISBLANK(_xlpm.v),NA(),_xlpm.v))</f>
        <v>#N/A</v>
      </c>
      <c r="K55" s="6" t="e" cm="1">
        <f t="array" ref="K55">_xlfn.LET(_xlpm.v,INDEX(K$3:K$39,MATCH($A55,$A$3:$A$39,0)),IF(ISBLANK(_xlpm.v),NA(),_xlpm.v))</f>
        <v>#N/A</v>
      </c>
      <c r="L55" s="6" t="e" cm="1">
        <f t="array" ref="L55">_xlfn.LET(_xlpm.v,INDEX(L$3:L$39,MATCH($A55,$A$3:$A$39,0)),IF(ISBLANK(_xlpm.v),NA(),_xlpm.v))</f>
        <v>#N/A</v>
      </c>
      <c r="M55" s="6" t="e" cm="1">
        <f t="array" ref="M55">_xlfn.LET(_xlpm.v,INDEX(M$3:M$39,MATCH($A55,$A$3:$A$39,0)),IF(ISBLANK(_xlpm.v),NA(),_xlpm.v))</f>
        <v>#N/A</v>
      </c>
      <c r="N55" s="6" t="e" cm="1">
        <f t="array" ref="N55">_xlfn.LET(_xlpm.v,INDEX(N$3:N$39,MATCH($A55,$A$3:$A$39,0)),IF(ISBLANK(_xlpm.v),NA(),_xlpm.v))</f>
        <v>#N/A</v>
      </c>
    </row>
    <row r="56" spans="1:14" x14ac:dyDescent="0.4">
      <c r="A56" s="5">
        <v>-25</v>
      </c>
      <c r="B56" s="6" cm="1">
        <f t="array" ref="B56">_xlfn.LET(_xlpm.v,INDEX(B$3:B$39,MATCH($A56,$A$3:$A$39,0)),IF(ISBLANK(_xlpm.v),NA(),_xlpm.v))</f>
        <v>56.3</v>
      </c>
      <c r="C56" s="6" cm="1">
        <f t="array" ref="C56">_xlfn.LET(_xlpm.v,INDEX(C$3:C$39,MATCH($A56,$A$3:$A$39,0)),IF(ISBLANK(_xlpm.v),NA(),_xlpm.v))</f>
        <v>20.76</v>
      </c>
      <c r="D56" s="6" cm="1">
        <f t="array" ref="D56">_xlfn.LET(_xlpm.v,INDEX(D$3:D$39,MATCH($A56,$A$3:$A$39,0)),IF(ISBLANK(_xlpm.v),NA(),_xlpm.v))</f>
        <v>11.97</v>
      </c>
      <c r="E56" s="6" cm="1">
        <f t="array" ref="E56">_xlfn.LET(_xlpm.v,INDEX(E$3:E$39,MATCH($A56,$A$3:$A$39,0)),IF(ISBLANK(_xlpm.v),NA(),_xlpm.v))</f>
        <v>8.75</v>
      </c>
      <c r="F56" s="6" cm="1">
        <f t="array" ref="F56">_xlfn.LET(_xlpm.v,INDEX(F$3:F$39,MATCH($A56,$A$3:$A$39,0)),IF(ISBLANK(_xlpm.v),NA(),_xlpm.v))</f>
        <v>9.5</v>
      </c>
      <c r="G56" s="6" t="e" cm="1">
        <f t="array" ref="G56">_xlfn.LET(_xlpm.v,INDEX(G$3:G$39,MATCH($A56,$A$3:$A$39,0)),IF(ISBLANK(_xlpm.v),NA(),_xlpm.v))</f>
        <v>#N/A</v>
      </c>
      <c r="H56" s="6" t="e" cm="1">
        <f t="array" ref="H56">_xlfn.LET(_xlpm.v,INDEX(H$3:H$39,MATCH($A56,$A$3:$A$39,0)),IF(ISBLANK(_xlpm.v),NA(),_xlpm.v))</f>
        <v>#N/A</v>
      </c>
      <c r="I56" s="6" t="e" cm="1">
        <f t="array" ref="I56">_xlfn.LET(_xlpm.v,INDEX(I$3:I$39,MATCH($A56,$A$3:$A$39,0)),IF(ISBLANK(_xlpm.v),NA(),_xlpm.v))</f>
        <v>#N/A</v>
      </c>
      <c r="J56" s="6" t="e" cm="1">
        <f t="array" ref="J56">_xlfn.LET(_xlpm.v,INDEX(J$3:J$39,MATCH($A56,$A$3:$A$39,0)),IF(ISBLANK(_xlpm.v),NA(),_xlpm.v))</f>
        <v>#N/A</v>
      </c>
      <c r="K56" s="6" t="e" cm="1">
        <f t="array" ref="K56">_xlfn.LET(_xlpm.v,INDEX(K$3:K$39,MATCH($A56,$A$3:$A$39,0)),IF(ISBLANK(_xlpm.v),NA(),_xlpm.v))</f>
        <v>#N/A</v>
      </c>
      <c r="L56" s="6" t="e" cm="1">
        <f t="array" ref="L56">_xlfn.LET(_xlpm.v,INDEX(L$3:L$39,MATCH($A56,$A$3:$A$39,0)),IF(ISBLANK(_xlpm.v),NA(),_xlpm.v))</f>
        <v>#N/A</v>
      </c>
      <c r="M56" s="6" t="e" cm="1">
        <f t="array" ref="M56">_xlfn.LET(_xlpm.v,INDEX(M$3:M$39,MATCH($A56,$A$3:$A$39,0)),IF(ISBLANK(_xlpm.v),NA(),_xlpm.v))</f>
        <v>#N/A</v>
      </c>
      <c r="N56" s="6" t="e" cm="1">
        <f t="array" ref="N56">_xlfn.LET(_xlpm.v,INDEX(N$3:N$39,MATCH($A56,$A$3:$A$39,0)),IF(ISBLANK(_xlpm.v),NA(),_xlpm.v))</f>
        <v>#N/A</v>
      </c>
    </row>
    <row r="57" spans="1:14" x14ac:dyDescent="0.4">
      <c r="A57" s="5">
        <v>-20</v>
      </c>
      <c r="B57" s="6" cm="1">
        <f t="array" ref="B57">_xlfn.LET(_xlpm.v,INDEX(B$3:B$39,MATCH($A57,$A$3:$A$39,0)),IF(ISBLANK(_xlpm.v),NA(),_xlpm.v))</f>
        <v>92.9</v>
      </c>
      <c r="C57" s="6" cm="1">
        <f t="array" ref="C57">_xlfn.LET(_xlpm.v,INDEX(C$3:C$39,MATCH($A57,$A$3:$A$39,0)),IF(ISBLANK(_xlpm.v),NA(),_xlpm.v))</f>
        <v>40</v>
      </c>
      <c r="D57" s="6" cm="1">
        <f t="array" ref="D57">_xlfn.LET(_xlpm.v,INDEX(D$3:D$39,MATCH($A57,$A$3:$A$39,0)),IF(ISBLANK(_xlpm.v),NA(),_xlpm.v))</f>
        <v>24.85</v>
      </c>
      <c r="E57" s="6" cm="1">
        <f t="array" ref="E57">_xlfn.LET(_xlpm.v,INDEX(E$3:E$39,MATCH($A57,$A$3:$A$39,0)),IF(ISBLANK(_xlpm.v),NA(),_xlpm.v))</f>
        <v>17.57</v>
      </c>
      <c r="F57" s="6" cm="1">
        <f t="array" ref="F57">_xlfn.LET(_xlpm.v,INDEX(F$3:F$39,MATCH($A57,$A$3:$A$39,0)),IF(ISBLANK(_xlpm.v),NA(),_xlpm.v))</f>
        <v>12.05</v>
      </c>
      <c r="G57" s="6" t="e" cm="1">
        <f t="array" ref="G57">_xlfn.LET(_xlpm.v,INDEX(G$3:G$39,MATCH($A57,$A$3:$A$39,0)),IF(ISBLANK(_xlpm.v),NA(),_xlpm.v))</f>
        <v>#N/A</v>
      </c>
      <c r="H57" s="6" t="e" cm="1">
        <f t="array" ref="H57">_xlfn.LET(_xlpm.v,INDEX(H$3:H$39,MATCH($A57,$A$3:$A$39,0)),IF(ISBLANK(_xlpm.v),NA(),_xlpm.v))</f>
        <v>#N/A</v>
      </c>
      <c r="I57" s="6" t="e" cm="1">
        <f t="array" ref="I57">_xlfn.LET(_xlpm.v,INDEX(I$3:I$39,MATCH($A57,$A$3:$A$39,0)),IF(ISBLANK(_xlpm.v),NA(),_xlpm.v))</f>
        <v>#N/A</v>
      </c>
      <c r="J57" s="6" t="e" cm="1">
        <f t="array" ref="J57">_xlfn.LET(_xlpm.v,INDEX(J$3:J$39,MATCH($A57,$A$3:$A$39,0)),IF(ISBLANK(_xlpm.v),NA(),_xlpm.v))</f>
        <v>#N/A</v>
      </c>
      <c r="K57" s="6" t="e" cm="1">
        <f t="array" ref="K57">_xlfn.LET(_xlpm.v,INDEX(K$3:K$39,MATCH($A57,$A$3:$A$39,0)),IF(ISBLANK(_xlpm.v),NA(),_xlpm.v))</f>
        <v>#N/A</v>
      </c>
      <c r="L57" s="6" t="e" cm="1">
        <f t="array" ref="L57">_xlfn.LET(_xlpm.v,INDEX(L$3:L$39,MATCH($A57,$A$3:$A$39,0)),IF(ISBLANK(_xlpm.v),NA(),_xlpm.v))</f>
        <v>#N/A</v>
      </c>
      <c r="M57" s="6" t="e" cm="1">
        <f t="array" ref="M57">_xlfn.LET(_xlpm.v,INDEX(M$3:M$39,MATCH($A57,$A$3:$A$39,0)),IF(ISBLANK(_xlpm.v),NA(),_xlpm.v))</f>
        <v>#N/A</v>
      </c>
      <c r="N57" s="6" t="e" cm="1">
        <f t="array" ref="N57">_xlfn.LET(_xlpm.v,INDEX(N$3:N$39,MATCH($A57,$A$3:$A$39,0)),IF(ISBLANK(_xlpm.v),NA(),_xlpm.v))</f>
        <v>#N/A</v>
      </c>
    </row>
    <row r="58" spans="1:14" x14ac:dyDescent="0.4">
      <c r="A58" s="5">
        <v>-15</v>
      </c>
      <c r="B58" s="6" cm="1">
        <f t="array" ref="B58">_xlfn.LET(_xlpm.v,INDEX(B$3:B$39,MATCH($A58,$A$3:$A$39,0)),IF(ISBLANK(_xlpm.v),NA(),_xlpm.v))</f>
        <v>137.30000000000001</v>
      </c>
      <c r="C58" s="6" cm="1">
        <f t="array" ref="C58">_xlfn.LET(_xlpm.v,INDEX(C$3:C$39,MATCH($A58,$A$3:$A$39,0)),IF(ISBLANK(_xlpm.v),NA(),_xlpm.v))</f>
        <v>76.900000000000006</v>
      </c>
      <c r="D58" s="6" cm="1">
        <f t="array" ref="D58">_xlfn.LET(_xlpm.v,INDEX(D$3:D$39,MATCH($A58,$A$3:$A$39,0)),IF(ISBLANK(_xlpm.v),NA(),_xlpm.v))</f>
        <v>48.7</v>
      </c>
      <c r="E58" s="6" cm="1">
        <f t="array" ref="E58">_xlfn.LET(_xlpm.v,INDEX(E$3:E$39,MATCH($A58,$A$3:$A$39,0)),IF(ISBLANK(_xlpm.v),NA(),_xlpm.v))</f>
        <v>36.08</v>
      </c>
      <c r="F58" s="6" cm="1">
        <f t="array" ref="F58">_xlfn.LET(_xlpm.v,INDEX(F$3:F$39,MATCH($A58,$A$3:$A$39,0)),IF(ISBLANK(_xlpm.v),NA(),_xlpm.v))</f>
        <v>26.57</v>
      </c>
      <c r="G58" s="6" t="e" cm="1">
        <f t="array" ref="G58">_xlfn.LET(_xlpm.v,INDEX(G$3:G$39,MATCH($A58,$A$3:$A$39,0)),IF(ISBLANK(_xlpm.v),NA(),_xlpm.v))</f>
        <v>#N/A</v>
      </c>
      <c r="H58" s="6" t="e" cm="1">
        <f t="array" ref="H58">_xlfn.LET(_xlpm.v,INDEX(H$3:H$39,MATCH($A58,$A$3:$A$39,0)),IF(ISBLANK(_xlpm.v),NA(),_xlpm.v))</f>
        <v>#N/A</v>
      </c>
      <c r="I58" s="6" t="e" cm="1">
        <f t="array" ref="I58">_xlfn.LET(_xlpm.v,INDEX(I$3:I$39,MATCH($A58,$A$3:$A$39,0)),IF(ISBLANK(_xlpm.v),NA(),_xlpm.v))</f>
        <v>#N/A</v>
      </c>
      <c r="J58" s="6" t="e" cm="1">
        <f t="array" ref="J58">_xlfn.LET(_xlpm.v,INDEX(J$3:J$39,MATCH($A58,$A$3:$A$39,0)),IF(ISBLANK(_xlpm.v),NA(),_xlpm.v))</f>
        <v>#N/A</v>
      </c>
      <c r="K58" s="6" t="e" cm="1">
        <f t="array" ref="K58">_xlfn.LET(_xlpm.v,INDEX(K$3:K$39,MATCH($A58,$A$3:$A$39,0)),IF(ISBLANK(_xlpm.v),NA(),_xlpm.v))</f>
        <v>#N/A</v>
      </c>
      <c r="L58" s="6" t="e" cm="1">
        <f t="array" ref="L58">_xlfn.LET(_xlpm.v,INDEX(L$3:L$39,MATCH($A58,$A$3:$A$39,0)),IF(ISBLANK(_xlpm.v),NA(),_xlpm.v))</f>
        <v>#N/A</v>
      </c>
      <c r="M58" s="6" t="e" cm="1">
        <f t="array" ref="M58">_xlfn.LET(_xlpm.v,INDEX(M$3:M$39,MATCH($A58,$A$3:$A$39,0)),IF(ISBLANK(_xlpm.v),NA(),_xlpm.v))</f>
        <v>#N/A</v>
      </c>
      <c r="N58" s="6" t="e" cm="1">
        <f t="array" ref="N58">_xlfn.LET(_xlpm.v,INDEX(N$3:N$39,MATCH($A58,$A$3:$A$39,0)),IF(ISBLANK(_xlpm.v),NA(),_xlpm.v))</f>
        <v>#N/A</v>
      </c>
    </row>
    <row r="59" spans="1:14" x14ac:dyDescent="0.4">
      <c r="A59" s="5">
        <v>-10</v>
      </c>
      <c r="B59" s="6" cm="1">
        <f t="array" ref="B59">_xlfn.LET(_xlpm.v,INDEX(B$3:B$39,MATCH($A59,$A$3:$A$39,0)),IF(ISBLANK(_xlpm.v),NA(),_xlpm.v))</f>
        <v>196.9</v>
      </c>
      <c r="C59" s="6" cm="1">
        <f t="array" ref="C59">_xlfn.LET(_xlpm.v,INDEX(C$3:C$39,MATCH($A59,$A$3:$A$39,0)),IF(ISBLANK(_xlpm.v),NA(),_xlpm.v))</f>
        <v>115.8</v>
      </c>
      <c r="D59" s="6" cm="1">
        <f t="array" ref="D59">_xlfn.LET(_xlpm.v,INDEX(D$3:D$39,MATCH($A59,$A$3:$A$39,0)),IF(ISBLANK(_xlpm.v),NA(),_xlpm.v))</f>
        <v>81.8</v>
      </c>
      <c r="E59" s="6" cm="1">
        <f t="array" ref="E59">_xlfn.LET(_xlpm.v,INDEX(E$3:E$39,MATCH($A59,$A$3:$A$39,0)),IF(ISBLANK(_xlpm.v),NA(),_xlpm.v))</f>
        <v>65.599999999999994</v>
      </c>
      <c r="F59" s="6" cm="1">
        <f t="array" ref="F59">_xlfn.LET(_xlpm.v,INDEX(F$3:F$39,MATCH($A59,$A$3:$A$39,0)),IF(ISBLANK(_xlpm.v),NA(),_xlpm.v))</f>
        <v>49.5</v>
      </c>
      <c r="G59" s="6" t="e" cm="1">
        <f t="array" ref="G59">_xlfn.LET(_xlpm.v,INDEX(G$3:G$39,MATCH($A59,$A$3:$A$39,0)),IF(ISBLANK(_xlpm.v),NA(),_xlpm.v))</f>
        <v>#N/A</v>
      </c>
      <c r="H59" s="6" t="e" cm="1">
        <f t="array" ref="H59">_xlfn.LET(_xlpm.v,INDEX(H$3:H$39,MATCH($A59,$A$3:$A$39,0)),IF(ISBLANK(_xlpm.v),NA(),_xlpm.v))</f>
        <v>#N/A</v>
      </c>
      <c r="I59" s="6" t="e" cm="1">
        <f t="array" ref="I59">_xlfn.LET(_xlpm.v,INDEX(I$3:I$39,MATCH($A59,$A$3:$A$39,0)),IF(ISBLANK(_xlpm.v),NA(),_xlpm.v))</f>
        <v>#N/A</v>
      </c>
      <c r="J59" s="6" t="e" cm="1">
        <f t="array" ref="J59">_xlfn.LET(_xlpm.v,INDEX(J$3:J$39,MATCH($A59,$A$3:$A$39,0)),IF(ISBLANK(_xlpm.v),NA(),_xlpm.v))</f>
        <v>#N/A</v>
      </c>
      <c r="K59" s="6" t="e" cm="1">
        <f t="array" ref="K59">_xlfn.LET(_xlpm.v,INDEX(K$3:K$39,MATCH($A59,$A$3:$A$39,0)),IF(ISBLANK(_xlpm.v),NA(),_xlpm.v))</f>
        <v>#N/A</v>
      </c>
      <c r="L59" s="6" t="e" cm="1">
        <f t="array" ref="L59">_xlfn.LET(_xlpm.v,INDEX(L$3:L$39,MATCH($A59,$A$3:$A$39,0)),IF(ISBLANK(_xlpm.v),NA(),_xlpm.v))</f>
        <v>#N/A</v>
      </c>
      <c r="M59" s="6" t="e" cm="1">
        <f t="array" ref="M59">_xlfn.LET(_xlpm.v,INDEX(M$3:M$39,MATCH($A59,$A$3:$A$39,0)),IF(ISBLANK(_xlpm.v),NA(),_xlpm.v))</f>
        <v>#N/A</v>
      </c>
      <c r="N59" s="6" t="e" cm="1">
        <f t="array" ref="N59">_xlfn.LET(_xlpm.v,INDEX(N$3:N$39,MATCH($A59,$A$3:$A$39,0)),IF(ISBLANK(_xlpm.v),NA(),_xlpm.v))</f>
        <v>#N/A</v>
      </c>
    </row>
    <row r="60" spans="1:14" x14ac:dyDescent="0.4">
      <c r="A60" s="5">
        <v>-5</v>
      </c>
      <c r="B60" s="6" cm="1">
        <f t="array" ref="B60">_xlfn.LET(_xlpm.v,INDEX(B$3:B$39,MATCH($A60,$A$3:$A$39,0)),IF(ISBLANK(_xlpm.v),NA(),_xlpm.v))</f>
        <v>262.3</v>
      </c>
      <c r="C60" s="6" cm="1">
        <f t="array" ref="C60">_xlfn.LET(_xlpm.v,INDEX(C$3:C$39,MATCH($A60,$A$3:$A$39,0)),IF(ISBLANK(_xlpm.v),NA(),_xlpm.v))</f>
        <v>163.1</v>
      </c>
      <c r="D60" s="6" cm="1">
        <f t="array" ref="D60">_xlfn.LET(_xlpm.v,INDEX(D$3:D$39,MATCH($A60,$A$3:$A$39,0)),IF(ISBLANK(_xlpm.v),NA(),_xlpm.v))</f>
        <v>125.5</v>
      </c>
      <c r="E60" s="6" cm="1">
        <f t="array" ref="E60">_xlfn.LET(_xlpm.v,INDEX(E$3:E$39,MATCH($A60,$A$3:$A$39,0)),IF(ISBLANK(_xlpm.v),NA(),_xlpm.v))</f>
        <v>101.4</v>
      </c>
      <c r="F60" s="6" cm="1">
        <f t="array" ref="F60">_xlfn.LET(_xlpm.v,INDEX(F$3:F$39,MATCH($A60,$A$3:$A$39,0)),IF(ISBLANK(_xlpm.v),NA(),_xlpm.v))</f>
        <v>84.3</v>
      </c>
      <c r="G60" s="6" t="e" cm="1">
        <f t="array" ref="G60">_xlfn.LET(_xlpm.v,INDEX(G$3:G$39,MATCH($A60,$A$3:$A$39,0)),IF(ISBLANK(_xlpm.v),NA(),_xlpm.v))</f>
        <v>#N/A</v>
      </c>
      <c r="H60" s="6" t="e" cm="1">
        <f t="array" ref="H60">_xlfn.LET(_xlpm.v,INDEX(H$3:H$39,MATCH($A60,$A$3:$A$39,0)),IF(ISBLANK(_xlpm.v),NA(),_xlpm.v))</f>
        <v>#N/A</v>
      </c>
      <c r="I60" s="6" t="e" cm="1">
        <f t="array" ref="I60">_xlfn.LET(_xlpm.v,INDEX(I$3:I$39,MATCH($A60,$A$3:$A$39,0)),IF(ISBLANK(_xlpm.v),NA(),_xlpm.v))</f>
        <v>#N/A</v>
      </c>
      <c r="J60" s="6" t="e" cm="1">
        <f t="array" ref="J60">_xlfn.LET(_xlpm.v,INDEX(J$3:J$39,MATCH($A60,$A$3:$A$39,0)),IF(ISBLANK(_xlpm.v),NA(),_xlpm.v))</f>
        <v>#N/A</v>
      </c>
      <c r="K60" s="6" t="e" cm="1">
        <f t="array" ref="K60">_xlfn.LET(_xlpm.v,INDEX(K$3:K$39,MATCH($A60,$A$3:$A$39,0)),IF(ISBLANK(_xlpm.v),NA(),_xlpm.v))</f>
        <v>#N/A</v>
      </c>
      <c r="L60" s="6" t="e" cm="1">
        <f t="array" ref="L60">_xlfn.LET(_xlpm.v,INDEX(L$3:L$39,MATCH($A60,$A$3:$A$39,0)),IF(ISBLANK(_xlpm.v),NA(),_xlpm.v))</f>
        <v>#N/A</v>
      </c>
      <c r="M60" s="6" t="e" cm="1">
        <f t="array" ref="M60">_xlfn.LET(_xlpm.v,INDEX(M$3:M$39,MATCH($A60,$A$3:$A$39,0)),IF(ISBLANK(_xlpm.v),NA(),_xlpm.v))</f>
        <v>#N/A</v>
      </c>
      <c r="N60" s="6" t="e" cm="1">
        <f t="array" ref="N60">_xlfn.LET(_xlpm.v,INDEX(N$3:N$39,MATCH($A60,$A$3:$A$39,0)),IF(ISBLANK(_xlpm.v),NA(),_xlpm.v))</f>
        <v>#N/A</v>
      </c>
    </row>
    <row r="61" spans="1:14" x14ac:dyDescent="0.4">
      <c r="A61" s="5">
        <v>0</v>
      </c>
      <c r="B61" s="6" cm="1">
        <f t="array" ref="B61">_xlfn.LET(_xlpm.v,INDEX(B$3:B$39,MATCH($A61,$A$3:$A$39,0)),IF(ISBLANK(_xlpm.v),NA(),_xlpm.v))</f>
        <v>332.7</v>
      </c>
      <c r="C61" s="6" cm="1">
        <f t="array" ref="C61">_xlfn.LET(_xlpm.v,INDEX(C$3:C$39,MATCH($A61,$A$3:$A$39,0)),IF(ISBLANK(_xlpm.v),NA(),_xlpm.v))</f>
        <v>226.5</v>
      </c>
      <c r="D61" s="6" cm="1">
        <f t="array" ref="D61">_xlfn.LET(_xlpm.v,INDEX(D$3:D$39,MATCH($A61,$A$3:$A$39,0)),IF(ISBLANK(_xlpm.v),NA(),_xlpm.v))</f>
        <v>178.6</v>
      </c>
      <c r="E61" s="6" cm="1">
        <f t="array" ref="E61">_xlfn.LET(_xlpm.v,INDEX(E$3:E$39,MATCH($A61,$A$3:$A$39,0)),IF(ISBLANK(_xlpm.v),NA(),_xlpm.v))</f>
        <v>155.80000000000001</v>
      </c>
      <c r="F61" s="6" cm="1">
        <f t="array" ref="F61">_xlfn.LET(_xlpm.v,INDEX(F$3:F$39,MATCH($A61,$A$3:$A$39,0)),IF(ISBLANK(_xlpm.v),NA(),_xlpm.v))</f>
        <v>127.5</v>
      </c>
      <c r="G61" s="6" t="e" cm="1">
        <f t="array" ref="G61">_xlfn.LET(_xlpm.v,INDEX(G$3:G$39,MATCH($A61,$A$3:$A$39,0)),IF(ISBLANK(_xlpm.v),NA(),_xlpm.v))</f>
        <v>#N/A</v>
      </c>
      <c r="H61" s="6" t="e" cm="1">
        <f t="array" ref="H61">_xlfn.LET(_xlpm.v,INDEX(H$3:H$39,MATCH($A61,$A$3:$A$39,0)),IF(ISBLANK(_xlpm.v),NA(),_xlpm.v))</f>
        <v>#N/A</v>
      </c>
      <c r="I61" s="6" t="e" cm="1">
        <f t="array" ref="I61">_xlfn.LET(_xlpm.v,INDEX(I$3:I$39,MATCH($A61,$A$3:$A$39,0)),IF(ISBLANK(_xlpm.v),NA(),_xlpm.v))</f>
        <v>#N/A</v>
      </c>
      <c r="J61" s="6" t="e" cm="1">
        <f t="array" ref="J61">_xlfn.LET(_xlpm.v,INDEX(J$3:J$39,MATCH($A61,$A$3:$A$39,0)),IF(ISBLANK(_xlpm.v),NA(),_xlpm.v))</f>
        <v>#N/A</v>
      </c>
      <c r="K61" s="6" t="e" cm="1">
        <f t="array" ref="K61">_xlfn.LET(_xlpm.v,INDEX(K$3:K$39,MATCH($A61,$A$3:$A$39,0)),IF(ISBLANK(_xlpm.v),NA(),_xlpm.v))</f>
        <v>#N/A</v>
      </c>
      <c r="L61" s="6" t="e" cm="1">
        <f t="array" ref="L61">_xlfn.LET(_xlpm.v,INDEX(L$3:L$39,MATCH($A61,$A$3:$A$39,0)),IF(ISBLANK(_xlpm.v),NA(),_xlpm.v))</f>
        <v>#N/A</v>
      </c>
      <c r="M61" s="6" t="e" cm="1">
        <f t="array" ref="M61">_xlfn.LET(_xlpm.v,INDEX(M$3:M$39,MATCH($A61,$A$3:$A$39,0)),IF(ISBLANK(_xlpm.v),NA(),_xlpm.v))</f>
        <v>#N/A</v>
      </c>
      <c r="N61" s="6" t="e" cm="1">
        <f t="array" ref="N61">_xlfn.LET(_xlpm.v,INDEX(N$3:N$39,MATCH($A61,$A$3:$A$39,0)),IF(ISBLANK(_xlpm.v),NA(),_xlpm.v))</f>
        <v>#N/A</v>
      </c>
    </row>
    <row r="62" spans="1:14" x14ac:dyDescent="0.4">
      <c r="A62" s="5">
        <v>5</v>
      </c>
      <c r="B62" s="6" cm="1">
        <f t="array" ref="B62">_xlfn.LET(_xlpm.v,INDEX(B$3:B$39,MATCH($A62,$A$3:$A$39,0)),IF(ISBLANK(_xlpm.v),NA(),_xlpm.v))</f>
        <v>403</v>
      </c>
      <c r="C62" s="6" cm="1">
        <f t="array" ref="C62">_xlfn.LET(_xlpm.v,INDEX(C$3:C$39,MATCH($A62,$A$3:$A$39,0)),IF(ISBLANK(_xlpm.v),NA(),_xlpm.v))</f>
        <v>283</v>
      </c>
      <c r="D62" s="6" cm="1">
        <f t="array" ref="D62">_xlfn.LET(_xlpm.v,INDEX(D$3:D$39,MATCH($A62,$A$3:$A$39,0)),IF(ISBLANK(_xlpm.v),NA(),_xlpm.v))</f>
        <v>235.9</v>
      </c>
      <c r="E62" s="6" cm="1">
        <f t="array" ref="E62">_xlfn.LET(_xlpm.v,INDEX(E$3:E$39,MATCH($A62,$A$3:$A$39,0)),IF(ISBLANK(_xlpm.v),NA(),_xlpm.v))</f>
        <v>200.2</v>
      </c>
      <c r="F62" s="6" cm="1">
        <f t="array" ref="F62">_xlfn.LET(_xlpm.v,INDEX(F$3:F$39,MATCH($A62,$A$3:$A$39,0)),IF(ISBLANK(_xlpm.v),NA(),_xlpm.v))</f>
        <v>177.8</v>
      </c>
      <c r="G62" s="6" t="e" cm="1">
        <f t="array" ref="G62">_xlfn.LET(_xlpm.v,INDEX(G$3:G$39,MATCH($A62,$A$3:$A$39,0)),IF(ISBLANK(_xlpm.v),NA(),_xlpm.v))</f>
        <v>#N/A</v>
      </c>
      <c r="H62" s="6" t="e" cm="1">
        <f t="array" ref="H62">_xlfn.LET(_xlpm.v,INDEX(H$3:H$39,MATCH($A62,$A$3:$A$39,0)),IF(ISBLANK(_xlpm.v),NA(),_xlpm.v))</f>
        <v>#N/A</v>
      </c>
      <c r="I62" s="6" t="e" cm="1">
        <f t="array" ref="I62">_xlfn.LET(_xlpm.v,INDEX(I$3:I$39,MATCH($A62,$A$3:$A$39,0)),IF(ISBLANK(_xlpm.v),NA(),_xlpm.v))</f>
        <v>#N/A</v>
      </c>
      <c r="J62" s="6" t="e" cm="1">
        <f t="array" ref="J62">_xlfn.LET(_xlpm.v,INDEX(J$3:J$39,MATCH($A62,$A$3:$A$39,0)),IF(ISBLANK(_xlpm.v),NA(),_xlpm.v))</f>
        <v>#N/A</v>
      </c>
      <c r="K62" s="6" t="e" cm="1">
        <f t="array" ref="K62">_xlfn.LET(_xlpm.v,INDEX(K$3:K$39,MATCH($A62,$A$3:$A$39,0)),IF(ISBLANK(_xlpm.v),NA(),_xlpm.v))</f>
        <v>#N/A</v>
      </c>
      <c r="L62" s="6" t="e" cm="1">
        <f t="array" ref="L62">_xlfn.LET(_xlpm.v,INDEX(L$3:L$39,MATCH($A62,$A$3:$A$39,0)),IF(ISBLANK(_xlpm.v),NA(),_xlpm.v))</f>
        <v>#N/A</v>
      </c>
      <c r="M62" s="6" t="e" cm="1">
        <f t="array" ref="M62">_xlfn.LET(_xlpm.v,INDEX(M$3:M$39,MATCH($A62,$A$3:$A$39,0)),IF(ISBLANK(_xlpm.v),NA(),_xlpm.v))</f>
        <v>#N/A</v>
      </c>
      <c r="N62" s="6" t="e" cm="1">
        <f t="array" ref="N62">_xlfn.LET(_xlpm.v,INDEX(N$3:N$39,MATCH($A62,$A$3:$A$39,0)),IF(ISBLANK(_xlpm.v),NA(),_xlpm.v))</f>
        <v>#N/A</v>
      </c>
    </row>
    <row r="63" spans="1:14" x14ac:dyDescent="0.4">
      <c r="A63" s="5">
        <v>10</v>
      </c>
      <c r="B63" s="6" cm="1">
        <f t="array" ref="B63">_xlfn.LET(_xlpm.v,INDEX(B$3:B$39,MATCH($A63,$A$3:$A$39,0)),IF(ISBLANK(_xlpm.v),NA(),_xlpm.v))</f>
        <v>470</v>
      </c>
      <c r="C63" s="6" cm="1">
        <f t="array" ref="C63">_xlfn.LET(_xlpm.v,INDEX(C$3:C$39,MATCH($A63,$A$3:$A$39,0)),IF(ISBLANK(_xlpm.v),NA(),_xlpm.v))</f>
        <v>344.6</v>
      </c>
      <c r="D63" s="6" cm="1">
        <f t="array" ref="D63">_xlfn.LET(_xlpm.v,INDEX(D$3:D$39,MATCH($A63,$A$3:$A$39,0)),IF(ISBLANK(_xlpm.v),NA(),_xlpm.v))</f>
        <v>285.10000000000002</v>
      </c>
      <c r="E63" s="6" cm="1">
        <f t="array" ref="E63">_xlfn.LET(_xlpm.v,INDEX(E$3:E$39,MATCH($A63,$A$3:$A$39,0)),IF(ISBLANK(_xlpm.v),NA(),_xlpm.v))</f>
        <v>261.7</v>
      </c>
      <c r="F63" s="6" cm="1">
        <f t="array" ref="F63">_xlfn.LET(_xlpm.v,INDEX(F$3:F$39,MATCH($A63,$A$3:$A$39,0)),IF(ISBLANK(_xlpm.v),NA(),_xlpm.v))</f>
        <v>236.8</v>
      </c>
      <c r="G63" s="6" t="e" cm="1">
        <f t="array" ref="G63">_xlfn.LET(_xlpm.v,INDEX(G$3:G$39,MATCH($A63,$A$3:$A$39,0)),IF(ISBLANK(_xlpm.v),NA(),_xlpm.v))</f>
        <v>#N/A</v>
      </c>
      <c r="H63" s="6" t="e" cm="1">
        <f t="array" ref="H63">_xlfn.LET(_xlpm.v,INDEX(H$3:H$39,MATCH($A63,$A$3:$A$39,0)),IF(ISBLANK(_xlpm.v),NA(),_xlpm.v))</f>
        <v>#N/A</v>
      </c>
      <c r="I63" s="6" t="e" cm="1">
        <f t="array" ref="I63">_xlfn.LET(_xlpm.v,INDEX(I$3:I$39,MATCH($A63,$A$3:$A$39,0)),IF(ISBLANK(_xlpm.v),NA(),_xlpm.v))</f>
        <v>#N/A</v>
      </c>
      <c r="J63" s="6" t="e" cm="1">
        <f t="array" ref="J63">_xlfn.LET(_xlpm.v,INDEX(J$3:J$39,MATCH($A63,$A$3:$A$39,0)),IF(ISBLANK(_xlpm.v),NA(),_xlpm.v))</f>
        <v>#N/A</v>
      </c>
      <c r="K63" s="6" t="e" cm="1">
        <f t="array" ref="K63">_xlfn.LET(_xlpm.v,INDEX(K$3:K$39,MATCH($A63,$A$3:$A$39,0)),IF(ISBLANK(_xlpm.v),NA(),_xlpm.v))</f>
        <v>#N/A</v>
      </c>
      <c r="L63" s="6" t="e" cm="1">
        <f t="array" ref="L63">_xlfn.LET(_xlpm.v,INDEX(L$3:L$39,MATCH($A63,$A$3:$A$39,0)),IF(ISBLANK(_xlpm.v),NA(),_xlpm.v))</f>
        <v>#N/A</v>
      </c>
      <c r="M63" s="6" t="e" cm="1">
        <f t="array" ref="M63">_xlfn.LET(_xlpm.v,INDEX(M$3:M$39,MATCH($A63,$A$3:$A$39,0)),IF(ISBLANK(_xlpm.v),NA(),_xlpm.v))</f>
        <v>#N/A</v>
      </c>
      <c r="N63" s="6" t="e" cm="1">
        <f t="array" ref="N63">_xlfn.LET(_xlpm.v,INDEX(N$3:N$39,MATCH($A63,$A$3:$A$39,0)),IF(ISBLANK(_xlpm.v),NA(),_xlpm.v))</f>
        <v>#N/A</v>
      </c>
    </row>
    <row r="64" spans="1:14" x14ac:dyDescent="0.4">
      <c r="A64" s="5">
        <v>15</v>
      </c>
      <c r="B64" s="6" cm="1">
        <f t="array" ref="B64">_xlfn.LET(_xlpm.v,INDEX(B$3:B$39,MATCH($A64,$A$3:$A$39,0)),IF(ISBLANK(_xlpm.v),NA(),_xlpm.v))</f>
        <v>532</v>
      </c>
      <c r="C64" s="6" cm="1">
        <f t="array" ref="C64">_xlfn.LET(_xlpm.v,INDEX(C$3:C$39,MATCH($A64,$A$3:$A$39,0)),IF(ISBLANK(_xlpm.v),NA(),_xlpm.v))</f>
        <v>407</v>
      </c>
      <c r="D64" s="6" cm="1">
        <f t="array" ref="D64">_xlfn.LET(_xlpm.v,INDEX(D$3:D$39,MATCH($A64,$A$3:$A$39,0)),IF(ISBLANK(_xlpm.v),NA(),_xlpm.v))</f>
        <v>349.1</v>
      </c>
      <c r="E64" s="6" cm="1">
        <f t="array" ref="E64">_xlfn.LET(_xlpm.v,INDEX(E$3:E$39,MATCH($A64,$A$3:$A$39,0)),IF(ISBLANK(_xlpm.v),NA(),_xlpm.v))</f>
        <v>317.89999999999998</v>
      </c>
      <c r="F64" s="6" cm="1">
        <f t="array" ref="F64">_xlfn.LET(_xlpm.v,INDEX(F$3:F$39,MATCH($A64,$A$3:$A$39,0)),IF(ISBLANK(_xlpm.v),NA(),_xlpm.v))</f>
        <v>304.7</v>
      </c>
      <c r="G64" s="6" t="e" cm="1">
        <f t="array" ref="G64">_xlfn.LET(_xlpm.v,INDEX(G$3:G$39,MATCH($A64,$A$3:$A$39,0)),IF(ISBLANK(_xlpm.v),NA(),_xlpm.v))</f>
        <v>#N/A</v>
      </c>
      <c r="H64" s="6" t="e" cm="1">
        <f t="array" ref="H64">_xlfn.LET(_xlpm.v,INDEX(H$3:H$39,MATCH($A64,$A$3:$A$39,0)),IF(ISBLANK(_xlpm.v),NA(),_xlpm.v))</f>
        <v>#N/A</v>
      </c>
      <c r="I64" s="6" t="e" cm="1">
        <f t="array" ref="I64">_xlfn.LET(_xlpm.v,INDEX(I$3:I$39,MATCH($A64,$A$3:$A$39,0)),IF(ISBLANK(_xlpm.v),NA(),_xlpm.v))</f>
        <v>#N/A</v>
      </c>
      <c r="J64" s="6" t="e" cm="1">
        <f t="array" ref="J64">_xlfn.LET(_xlpm.v,INDEX(J$3:J$39,MATCH($A64,$A$3:$A$39,0)),IF(ISBLANK(_xlpm.v),NA(),_xlpm.v))</f>
        <v>#N/A</v>
      </c>
      <c r="K64" s="6" t="e" cm="1">
        <f t="array" ref="K64">_xlfn.LET(_xlpm.v,INDEX(K$3:K$39,MATCH($A64,$A$3:$A$39,0)),IF(ISBLANK(_xlpm.v),NA(),_xlpm.v))</f>
        <v>#N/A</v>
      </c>
      <c r="L64" s="6" t="e" cm="1">
        <f t="array" ref="L64">_xlfn.LET(_xlpm.v,INDEX(L$3:L$39,MATCH($A64,$A$3:$A$39,0)),IF(ISBLANK(_xlpm.v),NA(),_xlpm.v))</f>
        <v>#N/A</v>
      </c>
      <c r="M64" s="6" t="e" cm="1">
        <f t="array" ref="M64">_xlfn.LET(_xlpm.v,INDEX(M$3:M$39,MATCH($A64,$A$3:$A$39,0)),IF(ISBLANK(_xlpm.v),NA(),_xlpm.v))</f>
        <v>#N/A</v>
      </c>
      <c r="N64" s="6" t="e" cm="1">
        <f t="array" ref="N64">_xlfn.LET(_xlpm.v,INDEX(N$3:N$39,MATCH($A64,$A$3:$A$39,0)),IF(ISBLANK(_xlpm.v),NA(),_xlpm.v))</f>
        <v>#N/A</v>
      </c>
    </row>
    <row r="65" spans="1:14" x14ac:dyDescent="0.4">
      <c r="A65" s="5">
        <v>20</v>
      </c>
      <c r="B65" s="6" cm="1">
        <f t="array" ref="B65">_xlfn.LET(_xlpm.v,INDEX(B$3:B$39,MATCH($A65,$A$3:$A$39,0)),IF(ISBLANK(_xlpm.v),NA(),_xlpm.v))</f>
        <v>601</v>
      </c>
      <c r="C65" s="6" cm="1">
        <f t="array" ref="C65">_xlfn.LET(_xlpm.v,INDEX(C$3:C$39,MATCH($A65,$A$3:$A$39,0)),IF(ISBLANK(_xlpm.v),NA(),_xlpm.v))</f>
        <v>471</v>
      </c>
      <c r="D65" s="6" cm="1">
        <f t="array" ref="D65">_xlfn.LET(_xlpm.v,INDEX(D$3:D$39,MATCH($A65,$A$3:$A$39,0)),IF(ISBLANK(_xlpm.v),NA(),_xlpm.v))</f>
        <v>416</v>
      </c>
      <c r="E65" s="6" cm="1">
        <f t="array" ref="E65">_xlfn.LET(_xlpm.v,INDEX(E$3:E$39,MATCH($A65,$A$3:$A$39,0)),IF(ISBLANK(_xlpm.v),NA(),_xlpm.v))</f>
        <v>379</v>
      </c>
      <c r="F65" s="6" cm="1">
        <f t="array" ref="F65">_xlfn.LET(_xlpm.v,INDEX(F$3:F$39,MATCH($A65,$A$3:$A$39,0)),IF(ISBLANK(_xlpm.v),NA(),_xlpm.v))</f>
        <v>367</v>
      </c>
      <c r="G65" s="6" t="e" cm="1">
        <f t="array" ref="G65">_xlfn.LET(_xlpm.v,INDEX(G$3:G$39,MATCH($A65,$A$3:$A$39,0)),IF(ISBLANK(_xlpm.v),NA(),_xlpm.v))</f>
        <v>#N/A</v>
      </c>
      <c r="H65" s="6" t="e" cm="1">
        <f t="array" ref="H65">_xlfn.LET(_xlpm.v,INDEX(H$3:H$39,MATCH($A65,$A$3:$A$39,0)),IF(ISBLANK(_xlpm.v),NA(),_xlpm.v))</f>
        <v>#N/A</v>
      </c>
      <c r="I65" s="6" t="e" cm="1">
        <f t="array" ref="I65">_xlfn.LET(_xlpm.v,INDEX(I$3:I$39,MATCH($A65,$A$3:$A$39,0)),IF(ISBLANK(_xlpm.v),NA(),_xlpm.v))</f>
        <v>#N/A</v>
      </c>
      <c r="J65" s="6" t="e" cm="1">
        <f t="array" ref="J65">_xlfn.LET(_xlpm.v,INDEX(J$3:J$39,MATCH($A65,$A$3:$A$39,0)),IF(ISBLANK(_xlpm.v),NA(),_xlpm.v))</f>
        <v>#N/A</v>
      </c>
      <c r="K65" s="6" t="e" cm="1">
        <f t="array" ref="K65">_xlfn.LET(_xlpm.v,INDEX(K$3:K$39,MATCH($A65,$A$3:$A$39,0)),IF(ISBLANK(_xlpm.v),NA(),_xlpm.v))</f>
        <v>#N/A</v>
      </c>
      <c r="L65" s="6" t="e" cm="1">
        <f t="array" ref="L65">_xlfn.LET(_xlpm.v,INDEX(L$3:L$39,MATCH($A65,$A$3:$A$39,0)),IF(ISBLANK(_xlpm.v),NA(),_xlpm.v))</f>
        <v>#N/A</v>
      </c>
      <c r="M65" s="6" t="e" cm="1">
        <f t="array" ref="M65">_xlfn.LET(_xlpm.v,INDEX(M$3:M$39,MATCH($A65,$A$3:$A$39,0)),IF(ISBLANK(_xlpm.v),NA(),_xlpm.v))</f>
        <v>#N/A</v>
      </c>
      <c r="N65" s="6" t="e" cm="1">
        <f t="array" ref="N65">_xlfn.LET(_xlpm.v,INDEX(N$3:N$39,MATCH($A65,$A$3:$A$39,0)),IF(ISBLANK(_xlpm.v),NA(),_xlpm.v))</f>
        <v>#N/A</v>
      </c>
    </row>
    <row r="66" spans="1:14" x14ac:dyDescent="0.4">
      <c r="A66" s="5">
        <v>25</v>
      </c>
      <c r="B66" s="6" cm="1">
        <f t="array" ref="B66">_xlfn.LET(_xlpm.v,INDEX(B$3:B$39,MATCH($A66,$A$3:$A$39,0)),IF(ISBLANK(_xlpm.v),NA(),_xlpm.v))</f>
        <v>659</v>
      </c>
      <c r="C66" s="6" cm="1">
        <f t="array" ref="C66">_xlfn.LET(_xlpm.v,INDEX(C$3:C$39,MATCH($A66,$A$3:$A$39,0)),IF(ISBLANK(_xlpm.v),NA(),_xlpm.v))</f>
        <v>536</v>
      </c>
      <c r="D66" s="6" cm="1">
        <f t="array" ref="D66">_xlfn.LET(_xlpm.v,INDEX(D$3:D$39,MATCH($A66,$A$3:$A$39,0)),IF(ISBLANK(_xlpm.v),NA(),_xlpm.v))</f>
        <v>480</v>
      </c>
      <c r="E66" s="6" cm="1">
        <f t="array" ref="E66">_xlfn.LET(_xlpm.v,INDEX(E$3:E$39,MATCH($A66,$A$3:$A$39,0)),IF(ISBLANK(_xlpm.v),NA(),_xlpm.v))</f>
        <v>442</v>
      </c>
      <c r="F66" s="6" cm="1">
        <f t="array" ref="F66">_xlfn.LET(_xlpm.v,INDEX(F$3:F$39,MATCH($A66,$A$3:$A$39,0)),IF(ISBLANK(_xlpm.v),NA(),_xlpm.v))</f>
        <v>438</v>
      </c>
      <c r="G66" s="6" t="e" cm="1">
        <f t="array" ref="G66">_xlfn.LET(_xlpm.v,INDEX(G$3:G$39,MATCH($A66,$A$3:$A$39,0)),IF(ISBLANK(_xlpm.v),NA(),_xlpm.v))</f>
        <v>#N/A</v>
      </c>
      <c r="H66" s="6" t="e" cm="1">
        <f t="array" ref="H66">_xlfn.LET(_xlpm.v,INDEX(H$3:H$39,MATCH($A66,$A$3:$A$39,0)),IF(ISBLANK(_xlpm.v),NA(),_xlpm.v))</f>
        <v>#N/A</v>
      </c>
      <c r="I66" s="6" t="e" cm="1">
        <f t="array" ref="I66">_xlfn.LET(_xlpm.v,INDEX(I$3:I$39,MATCH($A66,$A$3:$A$39,0)),IF(ISBLANK(_xlpm.v),NA(),_xlpm.v))</f>
        <v>#N/A</v>
      </c>
      <c r="J66" s="6" t="e" cm="1">
        <f t="array" ref="J66">_xlfn.LET(_xlpm.v,INDEX(J$3:J$39,MATCH($A66,$A$3:$A$39,0)),IF(ISBLANK(_xlpm.v),NA(),_xlpm.v))</f>
        <v>#N/A</v>
      </c>
      <c r="K66" s="6" t="e" cm="1">
        <f t="array" ref="K66">_xlfn.LET(_xlpm.v,INDEX(K$3:K$39,MATCH($A66,$A$3:$A$39,0)),IF(ISBLANK(_xlpm.v),NA(),_xlpm.v))</f>
        <v>#N/A</v>
      </c>
      <c r="L66" s="6" t="e" cm="1">
        <f t="array" ref="L66">_xlfn.LET(_xlpm.v,INDEX(L$3:L$39,MATCH($A66,$A$3:$A$39,0)),IF(ISBLANK(_xlpm.v),NA(),_xlpm.v))</f>
        <v>#N/A</v>
      </c>
      <c r="M66" s="6" t="e" cm="1">
        <f t="array" ref="M66">_xlfn.LET(_xlpm.v,INDEX(M$3:M$39,MATCH($A66,$A$3:$A$39,0)),IF(ISBLANK(_xlpm.v),NA(),_xlpm.v))</f>
        <v>#N/A</v>
      </c>
      <c r="N66" s="6" t="e" cm="1">
        <f t="array" ref="N66">_xlfn.LET(_xlpm.v,INDEX(N$3:N$39,MATCH($A66,$A$3:$A$39,0)),IF(ISBLANK(_xlpm.v),NA(),_xlpm.v))</f>
        <v>#N/A</v>
      </c>
    </row>
    <row r="67" spans="1:14" x14ac:dyDescent="0.4">
      <c r="A67" s="5">
        <v>30</v>
      </c>
      <c r="B67" s="6" cm="1">
        <f t="array" ref="B67">_xlfn.LET(_xlpm.v,INDEX(B$3:B$39,MATCH($A67,$A$3:$A$39,0)),IF(ISBLANK(_xlpm.v),NA(),_xlpm.v))</f>
        <v>716</v>
      </c>
      <c r="C67" s="6" cm="1">
        <f t="array" ref="C67">_xlfn.LET(_xlpm.v,INDEX(C$3:C$39,MATCH($A67,$A$3:$A$39,0)),IF(ISBLANK(_xlpm.v),NA(),_xlpm.v))</f>
        <v>592</v>
      </c>
      <c r="D67" s="6" cm="1">
        <f t="array" ref="D67">_xlfn.LET(_xlpm.v,INDEX(D$3:D$39,MATCH($A67,$A$3:$A$39,0)),IF(ISBLANK(_xlpm.v),NA(),_xlpm.v))</f>
        <v>541</v>
      </c>
      <c r="E67" s="6" cm="1">
        <f t="array" ref="E67">_xlfn.LET(_xlpm.v,INDEX(E$3:E$39,MATCH($A67,$A$3:$A$39,0)),IF(ISBLANK(_xlpm.v),NA(),_xlpm.v))</f>
        <v>501</v>
      </c>
      <c r="F67" s="6" cm="1">
        <f t="array" ref="F67">_xlfn.LET(_xlpm.v,INDEX(F$3:F$39,MATCH($A67,$A$3:$A$39,0)),IF(ISBLANK(_xlpm.v),NA(),_xlpm.v))</f>
        <v>505</v>
      </c>
      <c r="G67" s="6" t="e" cm="1">
        <f t="array" ref="G67">_xlfn.LET(_xlpm.v,INDEX(G$3:G$39,MATCH($A67,$A$3:$A$39,0)),IF(ISBLANK(_xlpm.v),NA(),_xlpm.v))</f>
        <v>#N/A</v>
      </c>
      <c r="H67" s="6" t="e" cm="1">
        <f t="array" ref="H67">_xlfn.LET(_xlpm.v,INDEX(H$3:H$39,MATCH($A67,$A$3:$A$39,0)),IF(ISBLANK(_xlpm.v),NA(),_xlpm.v))</f>
        <v>#N/A</v>
      </c>
      <c r="I67" s="6" t="e" cm="1">
        <f t="array" ref="I67">_xlfn.LET(_xlpm.v,INDEX(I$3:I$39,MATCH($A67,$A$3:$A$39,0)),IF(ISBLANK(_xlpm.v),NA(),_xlpm.v))</f>
        <v>#N/A</v>
      </c>
      <c r="J67" s="6" t="e" cm="1">
        <f t="array" ref="J67">_xlfn.LET(_xlpm.v,INDEX(J$3:J$39,MATCH($A67,$A$3:$A$39,0)),IF(ISBLANK(_xlpm.v),NA(),_xlpm.v))</f>
        <v>#N/A</v>
      </c>
      <c r="K67" s="6" t="e" cm="1">
        <f t="array" ref="K67">_xlfn.LET(_xlpm.v,INDEX(K$3:K$39,MATCH($A67,$A$3:$A$39,0)),IF(ISBLANK(_xlpm.v),NA(),_xlpm.v))</f>
        <v>#N/A</v>
      </c>
      <c r="L67" s="6" t="e" cm="1">
        <f t="array" ref="L67">_xlfn.LET(_xlpm.v,INDEX(L$3:L$39,MATCH($A67,$A$3:$A$39,0)),IF(ISBLANK(_xlpm.v),NA(),_xlpm.v))</f>
        <v>#N/A</v>
      </c>
      <c r="M67" s="6" t="e" cm="1">
        <f t="array" ref="M67">_xlfn.LET(_xlpm.v,INDEX(M$3:M$39,MATCH($A67,$A$3:$A$39,0)),IF(ISBLANK(_xlpm.v),NA(),_xlpm.v))</f>
        <v>#N/A</v>
      </c>
      <c r="N67" s="6" t="e" cm="1">
        <f t="array" ref="N67">_xlfn.LET(_xlpm.v,INDEX(N$3:N$39,MATCH($A67,$A$3:$A$39,0)),IF(ISBLANK(_xlpm.v),NA(),_xlpm.v))</f>
        <v>#N/A</v>
      </c>
    </row>
    <row r="68" spans="1:14" x14ac:dyDescent="0.4">
      <c r="A68" s="5">
        <v>35</v>
      </c>
      <c r="B68" s="6" cm="1">
        <f t="array" ref="B68">_xlfn.LET(_xlpm.v,INDEX(B$3:B$39,MATCH($A68,$A$3:$A$39,0)),IF(ISBLANK(_xlpm.v),NA(),_xlpm.v))</f>
        <v>747</v>
      </c>
      <c r="C68" s="6" cm="1">
        <f t="array" ref="C68">_xlfn.LET(_xlpm.v,INDEX(C$3:C$39,MATCH($A68,$A$3:$A$39,0)),IF(ISBLANK(_xlpm.v),NA(),_xlpm.v))</f>
        <v>650</v>
      </c>
      <c r="D68" s="6" cm="1">
        <f t="array" ref="D68">_xlfn.LET(_xlpm.v,INDEX(D$3:D$39,MATCH($A68,$A$3:$A$39,0)),IF(ISBLANK(_xlpm.v),NA(),_xlpm.v))</f>
        <v>597</v>
      </c>
      <c r="E68" s="6" cm="1">
        <f t="array" ref="E68">_xlfn.LET(_xlpm.v,INDEX(E$3:E$39,MATCH($A68,$A$3:$A$39,0)),IF(ISBLANK(_xlpm.v),NA(),_xlpm.v))</f>
        <v>570</v>
      </c>
      <c r="F68" s="6" cm="1">
        <f t="array" ref="F68">_xlfn.LET(_xlpm.v,INDEX(F$3:F$39,MATCH($A68,$A$3:$A$39,0)),IF(ISBLANK(_xlpm.v),NA(),_xlpm.v))</f>
        <v>569</v>
      </c>
      <c r="G68" s="6" t="e" cm="1">
        <f t="array" ref="G68">_xlfn.LET(_xlpm.v,INDEX(G$3:G$39,MATCH($A68,$A$3:$A$39,0)),IF(ISBLANK(_xlpm.v),NA(),_xlpm.v))</f>
        <v>#N/A</v>
      </c>
      <c r="H68" s="6" t="e" cm="1">
        <f t="array" ref="H68">_xlfn.LET(_xlpm.v,INDEX(H$3:H$39,MATCH($A68,$A$3:$A$39,0)),IF(ISBLANK(_xlpm.v),NA(),_xlpm.v))</f>
        <v>#N/A</v>
      </c>
      <c r="I68" s="6" t="e" cm="1">
        <f t="array" ref="I68">_xlfn.LET(_xlpm.v,INDEX(I$3:I$39,MATCH($A68,$A$3:$A$39,0)),IF(ISBLANK(_xlpm.v),NA(),_xlpm.v))</f>
        <v>#N/A</v>
      </c>
      <c r="J68" s="6" t="e" cm="1">
        <f t="array" ref="J68">_xlfn.LET(_xlpm.v,INDEX(J$3:J$39,MATCH($A68,$A$3:$A$39,0)),IF(ISBLANK(_xlpm.v),NA(),_xlpm.v))</f>
        <v>#N/A</v>
      </c>
      <c r="K68" s="6" t="e" cm="1">
        <f t="array" ref="K68">_xlfn.LET(_xlpm.v,INDEX(K$3:K$39,MATCH($A68,$A$3:$A$39,0)),IF(ISBLANK(_xlpm.v),NA(),_xlpm.v))</f>
        <v>#N/A</v>
      </c>
      <c r="L68" s="6" t="e" cm="1">
        <f t="array" ref="L68">_xlfn.LET(_xlpm.v,INDEX(L$3:L$39,MATCH($A68,$A$3:$A$39,0)),IF(ISBLANK(_xlpm.v),NA(),_xlpm.v))</f>
        <v>#N/A</v>
      </c>
      <c r="M68" s="6" t="e" cm="1">
        <f t="array" ref="M68">_xlfn.LET(_xlpm.v,INDEX(M$3:M$39,MATCH($A68,$A$3:$A$39,0)),IF(ISBLANK(_xlpm.v),NA(),_xlpm.v))</f>
        <v>#N/A</v>
      </c>
      <c r="N68" s="6" t="e" cm="1">
        <f t="array" ref="N68">_xlfn.LET(_xlpm.v,INDEX(N$3:N$39,MATCH($A68,$A$3:$A$39,0)),IF(ISBLANK(_xlpm.v),NA(),_xlpm.v))</f>
        <v>#N/A</v>
      </c>
    </row>
    <row r="69" spans="1:14" x14ac:dyDescent="0.4">
      <c r="A69" s="5">
        <v>40</v>
      </c>
      <c r="B69" s="6" cm="1">
        <f t="array" ref="B69">_xlfn.LET(_xlpm.v,INDEX(B$3:B$39,MATCH($A69,$A$3:$A$39,0)),IF(ISBLANK(_xlpm.v),NA(),_xlpm.v))</f>
        <v>785</v>
      </c>
      <c r="C69" s="6" cm="1">
        <f t="array" ref="C69">_xlfn.LET(_xlpm.v,INDEX(C$3:C$39,MATCH($A69,$A$3:$A$39,0)),IF(ISBLANK(_xlpm.v),NA(),_xlpm.v))</f>
        <v>695</v>
      </c>
      <c r="D69" s="6" cm="1">
        <f t="array" ref="D69">_xlfn.LET(_xlpm.v,INDEX(D$3:D$39,MATCH($A69,$A$3:$A$39,0)),IF(ISBLANK(_xlpm.v),NA(),_xlpm.v))</f>
        <v>646</v>
      </c>
      <c r="E69" s="6" cm="1">
        <f t="array" ref="E69">_xlfn.LET(_xlpm.v,INDEX(E$3:E$39,MATCH($A69,$A$3:$A$39,0)),IF(ISBLANK(_xlpm.v),NA(),_xlpm.v))</f>
        <v>624</v>
      </c>
      <c r="F69" s="6" cm="1">
        <f t="array" ref="F69">_xlfn.LET(_xlpm.v,INDEX(F$3:F$39,MATCH($A69,$A$3:$A$39,0)),IF(ISBLANK(_xlpm.v),NA(),_xlpm.v))</f>
        <v>633</v>
      </c>
      <c r="G69" s="6" t="e" cm="1">
        <f t="array" ref="G69">_xlfn.LET(_xlpm.v,INDEX(G$3:G$39,MATCH($A69,$A$3:$A$39,0)),IF(ISBLANK(_xlpm.v),NA(),_xlpm.v))</f>
        <v>#N/A</v>
      </c>
      <c r="H69" s="6" t="e" cm="1">
        <f t="array" ref="H69">_xlfn.LET(_xlpm.v,INDEX(H$3:H$39,MATCH($A69,$A$3:$A$39,0)),IF(ISBLANK(_xlpm.v),NA(),_xlpm.v))</f>
        <v>#N/A</v>
      </c>
      <c r="I69" s="6" t="e" cm="1">
        <f t="array" ref="I69">_xlfn.LET(_xlpm.v,INDEX(I$3:I$39,MATCH($A69,$A$3:$A$39,0)),IF(ISBLANK(_xlpm.v),NA(),_xlpm.v))</f>
        <v>#N/A</v>
      </c>
      <c r="J69" s="6" t="e" cm="1">
        <f t="array" ref="J69">_xlfn.LET(_xlpm.v,INDEX(J$3:J$39,MATCH($A69,$A$3:$A$39,0)),IF(ISBLANK(_xlpm.v),NA(),_xlpm.v))</f>
        <v>#N/A</v>
      </c>
      <c r="K69" s="6" t="e" cm="1">
        <f t="array" ref="K69">_xlfn.LET(_xlpm.v,INDEX(K$3:K$39,MATCH($A69,$A$3:$A$39,0)),IF(ISBLANK(_xlpm.v),NA(),_xlpm.v))</f>
        <v>#N/A</v>
      </c>
      <c r="L69" s="6" t="e" cm="1">
        <f t="array" ref="L69">_xlfn.LET(_xlpm.v,INDEX(L$3:L$39,MATCH($A69,$A$3:$A$39,0)),IF(ISBLANK(_xlpm.v),NA(),_xlpm.v))</f>
        <v>#N/A</v>
      </c>
      <c r="M69" s="6" t="e" cm="1">
        <f t="array" ref="M69">_xlfn.LET(_xlpm.v,INDEX(M$3:M$39,MATCH($A69,$A$3:$A$39,0)),IF(ISBLANK(_xlpm.v),NA(),_xlpm.v))</f>
        <v>#N/A</v>
      </c>
      <c r="N69" s="6" t="e" cm="1">
        <f t="array" ref="N69">_xlfn.LET(_xlpm.v,INDEX(N$3:N$39,MATCH($A69,$A$3:$A$39,0)),IF(ISBLANK(_xlpm.v),NA(),_xlpm.v))</f>
        <v>#N/A</v>
      </c>
    </row>
    <row r="70" spans="1:14" x14ac:dyDescent="0.4">
      <c r="A70" s="5">
        <v>45</v>
      </c>
      <c r="B70" s="6" cm="1">
        <f t="array" ref="B70">_xlfn.LET(_xlpm.v,INDEX(B$3:B$39,MATCH($A70,$A$3:$A$39,0)),IF(ISBLANK(_xlpm.v),NA(),_xlpm.v))</f>
        <v>805</v>
      </c>
      <c r="C70" s="6" cm="1">
        <f t="array" ref="C70">_xlfn.LET(_xlpm.v,INDEX(C$3:C$39,MATCH($A70,$A$3:$A$39,0)),IF(ISBLANK(_xlpm.v),NA(),_xlpm.v))</f>
        <v>733</v>
      </c>
      <c r="D70" s="6" cm="1">
        <f t="array" ref="D70">_xlfn.LET(_xlpm.v,INDEX(D$3:D$39,MATCH($A70,$A$3:$A$39,0)),IF(ISBLANK(_xlpm.v),NA(),_xlpm.v))</f>
        <v>686</v>
      </c>
      <c r="E70" s="6" cm="1">
        <f t="array" ref="E70">_xlfn.LET(_xlpm.v,INDEX(E$3:E$39,MATCH($A70,$A$3:$A$39,0)),IF(ISBLANK(_xlpm.v),NA(),_xlpm.v))</f>
        <v>666</v>
      </c>
      <c r="F70" s="6" cm="1">
        <f t="array" ref="F70">_xlfn.LET(_xlpm.v,INDEX(F$3:F$39,MATCH($A70,$A$3:$A$39,0)),IF(ISBLANK(_xlpm.v),NA(),_xlpm.v))</f>
        <v>684</v>
      </c>
      <c r="G70" s="6" t="e" cm="1">
        <f t="array" ref="G70">_xlfn.LET(_xlpm.v,INDEX(G$3:G$39,MATCH($A70,$A$3:$A$39,0)),IF(ISBLANK(_xlpm.v),NA(),_xlpm.v))</f>
        <v>#N/A</v>
      </c>
      <c r="H70" s="6" t="e" cm="1">
        <f t="array" ref="H70">_xlfn.LET(_xlpm.v,INDEX(H$3:H$39,MATCH($A70,$A$3:$A$39,0)),IF(ISBLANK(_xlpm.v),NA(),_xlpm.v))</f>
        <v>#N/A</v>
      </c>
      <c r="I70" s="6" t="e" cm="1">
        <f t="array" ref="I70">_xlfn.LET(_xlpm.v,INDEX(I$3:I$39,MATCH($A70,$A$3:$A$39,0)),IF(ISBLANK(_xlpm.v),NA(),_xlpm.v))</f>
        <v>#N/A</v>
      </c>
      <c r="J70" s="6" t="e" cm="1">
        <f t="array" ref="J70">_xlfn.LET(_xlpm.v,INDEX(J$3:J$39,MATCH($A70,$A$3:$A$39,0)),IF(ISBLANK(_xlpm.v),NA(),_xlpm.v))</f>
        <v>#N/A</v>
      </c>
      <c r="K70" s="6" t="e" cm="1">
        <f t="array" ref="K70">_xlfn.LET(_xlpm.v,INDEX(K$3:K$39,MATCH($A70,$A$3:$A$39,0)),IF(ISBLANK(_xlpm.v),NA(),_xlpm.v))</f>
        <v>#N/A</v>
      </c>
      <c r="L70" s="6" t="e" cm="1">
        <f t="array" ref="L70">_xlfn.LET(_xlpm.v,INDEX(L$3:L$39,MATCH($A70,$A$3:$A$39,0)),IF(ISBLANK(_xlpm.v),NA(),_xlpm.v))</f>
        <v>#N/A</v>
      </c>
      <c r="M70" s="6" t="e" cm="1">
        <f t="array" ref="M70">_xlfn.LET(_xlpm.v,INDEX(M$3:M$39,MATCH($A70,$A$3:$A$39,0)),IF(ISBLANK(_xlpm.v),NA(),_xlpm.v))</f>
        <v>#N/A</v>
      </c>
      <c r="N70" s="6" t="e" cm="1">
        <f t="array" ref="N70">_xlfn.LET(_xlpm.v,INDEX(N$3:N$39,MATCH($A70,$A$3:$A$39,0)),IF(ISBLANK(_xlpm.v),NA(),_xlpm.v))</f>
        <v>#N/A</v>
      </c>
    </row>
    <row r="71" spans="1:14" x14ac:dyDescent="0.4">
      <c r="A71" s="5">
        <v>50</v>
      </c>
      <c r="B71" s="6" cm="1">
        <f t="array" ref="B71">_xlfn.LET(_xlpm.v,INDEX(B$3:B$39,MATCH($A71,$A$3:$A$39,0)),IF(ISBLANK(_xlpm.v),NA(),_xlpm.v))</f>
        <v>819</v>
      </c>
      <c r="C71" s="6" cm="1">
        <f t="array" ref="C71">_xlfn.LET(_xlpm.v,INDEX(C$3:C$39,MATCH($A71,$A$3:$A$39,0)),IF(ISBLANK(_xlpm.v),NA(),_xlpm.v))</f>
        <v>758</v>
      </c>
      <c r="D71" s="6" cm="1">
        <f t="array" ref="D71">_xlfn.LET(_xlpm.v,INDEX(D$3:D$39,MATCH($A71,$A$3:$A$39,0)),IF(ISBLANK(_xlpm.v),NA(),_xlpm.v))</f>
        <v>721</v>
      </c>
      <c r="E71" s="6" cm="1">
        <f t="array" ref="E71">_xlfn.LET(_xlpm.v,INDEX(E$3:E$39,MATCH($A71,$A$3:$A$39,0)),IF(ISBLANK(_xlpm.v),NA(),_xlpm.v))</f>
        <v>703</v>
      </c>
      <c r="F71" s="6" cm="1">
        <f t="array" ref="F71">_xlfn.LET(_xlpm.v,INDEX(F$3:F$39,MATCH($A71,$A$3:$A$39,0)),IF(ISBLANK(_xlpm.v),NA(),_xlpm.v))</f>
        <v>727</v>
      </c>
      <c r="G71" s="6" t="e" cm="1">
        <f t="array" ref="G71">_xlfn.LET(_xlpm.v,INDEX(G$3:G$39,MATCH($A71,$A$3:$A$39,0)),IF(ISBLANK(_xlpm.v),NA(),_xlpm.v))</f>
        <v>#N/A</v>
      </c>
      <c r="H71" s="6" t="e" cm="1">
        <f t="array" ref="H71">_xlfn.LET(_xlpm.v,INDEX(H$3:H$39,MATCH($A71,$A$3:$A$39,0)),IF(ISBLANK(_xlpm.v),NA(),_xlpm.v))</f>
        <v>#N/A</v>
      </c>
      <c r="I71" s="6" t="e" cm="1">
        <f t="array" ref="I71">_xlfn.LET(_xlpm.v,INDEX(I$3:I$39,MATCH($A71,$A$3:$A$39,0)),IF(ISBLANK(_xlpm.v),NA(),_xlpm.v))</f>
        <v>#N/A</v>
      </c>
      <c r="J71" s="6" t="e" cm="1">
        <f t="array" ref="J71">_xlfn.LET(_xlpm.v,INDEX(J$3:J$39,MATCH($A71,$A$3:$A$39,0)),IF(ISBLANK(_xlpm.v),NA(),_xlpm.v))</f>
        <v>#N/A</v>
      </c>
      <c r="K71" s="6" t="e" cm="1">
        <f t="array" ref="K71">_xlfn.LET(_xlpm.v,INDEX(K$3:K$39,MATCH($A71,$A$3:$A$39,0)),IF(ISBLANK(_xlpm.v),NA(),_xlpm.v))</f>
        <v>#N/A</v>
      </c>
      <c r="L71" s="6" t="e" cm="1">
        <f t="array" ref="L71">_xlfn.LET(_xlpm.v,INDEX(L$3:L$39,MATCH($A71,$A$3:$A$39,0)),IF(ISBLANK(_xlpm.v),NA(),_xlpm.v))</f>
        <v>#N/A</v>
      </c>
      <c r="M71" s="6" t="e" cm="1">
        <f t="array" ref="M71">_xlfn.LET(_xlpm.v,INDEX(M$3:M$39,MATCH($A71,$A$3:$A$39,0)),IF(ISBLANK(_xlpm.v),NA(),_xlpm.v))</f>
        <v>#N/A</v>
      </c>
      <c r="N71" s="6" t="e" cm="1">
        <f t="array" ref="N71">_xlfn.LET(_xlpm.v,INDEX(N$3:N$39,MATCH($A71,$A$3:$A$39,0)),IF(ISBLANK(_xlpm.v),NA(),_xlpm.v))</f>
        <v>#N/A</v>
      </c>
    </row>
    <row r="72" spans="1:14" x14ac:dyDescent="0.4">
      <c r="A72" s="5">
        <v>55</v>
      </c>
      <c r="B72" s="6" cm="1">
        <f t="array" ref="B72">_xlfn.LET(_xlpm.v,INDEX(B$3:B$39,MATCH($A72,$A$3:$A$39,0)),IF(ISBLANK(_xlpm.v),NA(),_xlpm.v))</f>
        <v>824</v>
      </c>
      <c r="C72" s="6" cm="1">
        <f t="array" ref="C72">_xlfn.LET(_xlpm.v,INDEX(C$3:C$39,MATCH($A72,$A$3:$A$39,0)),IF(ISBLANK(_xlpm.v),NA(),_xlpm.v))</f>
        <v>776</v>
      </c>
      <c r="D72" s="6" cm="1">
        <f t="array" ref="D72">_xlfn.LET(_xlpm.v,INDEX(D$3:D$39,MATCH($A72,$A$3:$A$39,0)),IF(ISBLANK(_xlpm.v),NA(),_xlpm.v))</f>
        <v>746</v>
      </c>
      <c r="E72" s="6" cm="1">
        <f t="array" ref="E72">_xlfn.LET(_xlpm.v,INDEX(E$3:E$39,MATCH($A72,$A$3:$A$39,0)),IF(ISBLANK(_xlpm.v),NA(),_xlpm.v))</f>
        <v>734</v>
      </c>
      <c r="F72" s="6" cm="1">
        <f t="array" ref="F72">_xlfn.LET(_xlpm.v,INDEX(F$3:F$39,MATCH($A72,$A$3:$A$39,0)),IF(ISBLANK(_xlpm.v),NA(),_xlpm.v))</f>
        <v>765</v>
      </c>
      <c r="G72" s="6" t="e" cm="1">
        <f t="array" ref="G72">_xlfn.LET(_xlpm.v,INDEX(G$3:G$39,MATCH($A72,$A$3:$A$39,0)),IF(ISBLANK(_xlpm.v),NA(),_xlpm.v))</f>
        <v>#N/A</v>
      </c>
      <c r="H72" s="6" t="e" cm="1">
        <f t="array" ref="H72">_xlfn.LET(_xlpm.v,INDEX(H$3:H$39,MATCH($A72,$A$3:$A$39,0)),IF(ISBLANK(_xlpm.v),NA(),_xlpm.v))</f>
        <v>#N/A</v>
      </c>
      <c r="I72" s="6" t="e" cm="1">
        <f t="array" ref="I72">_xlfn.LET(_xlpm.v,INDEX(I$3:I$39,MATCH($A72,$A$3:$A$39,0)),IF(ISBLANK(_xlpm.v),NA(),_xlpm.v))</f>
        <v>#N/A</v>
      </c>
      <c r="J72" s="6" t="e" cm="1">
        <f t="array" ref="J72">_xlfn.LET(_xlpm.v,INDEX(J$3:J$39,MATCH($A72,$A$3:$A$39,0)),IF(ISBLANK(_xlpm.v),NA(),_xlpm.v))</f>
        <v>#N/A</v>
      </c>
      <c r="K72" s="6" t="e" cm="1">
        <f t="array" ref="K72">_xlfn.LET(_xlpm.v,INDEX(K$3:K$39,MATCH($A72,$A$3:$A$39,0)),IF(ISBLANK(_xlpm.v),NA(),_xlpm.v))</f>
        <v>#N/A</v>
      </c>
      <c r="L72" s="6" t="e" cm="1">
        <f t="array" ref="L72">_xlfn.LET(_xlpm.v,INDEX(L$3:L$39,MATCH($A72,$A$3:$A$39,0)),IF(ISBLANK(_xlpm.v),NA(),_xlpm.v))</f>
        <v>#N/A</v>
      </c>
      <c r="M72" s="6" t="e" cm="1">
        <f t="array" ref="M72">_xlfn.LET(_xlpm.v,INDEX(M$3:M$39,MATCH($A72,$A$3:$A$39,0)),IF(ISBLANK(_xlpm.v),NA(),_xlpm.v))</f>
        <v>#N/A</v>
      </c>
      <c r="N72" s="6" t="e" cm="1">
        <f t="array" ref="N72">_xlfn.LET(_xlpm.v,INDEX(N$3:N$39,MATCH($A72,$A$3:$A$39,0)),IF(ISBLANK(_xlpm.v),NA(),_xlpm.v))</f>
        <v>#N/A</v>
      </c>
    </row>
    <row r="73" spans="1:14" x14ac:dyDescent="0.4">
      <c r="A73" s="5">
        <v>60</v>
      </c>
      <c r="B73" s="6" cm="1">
        <f t="array" ref="B73">_xlfn.LET(_xlpm.v,INDEX(B$3:B$39,MATCH($A73,$A$3:$A$39,0)),IF(ISBLANK(_xlpm.v),NA(),_xlpm.v))</f>
        <v>820</v>
      </c>
      <c r="C73" s="6" cm="1">
        <f t="array" ref="C73">_xlfn.LET(_xlpm.v,INDEX(C$3:C$39,MATCH($A73,$A$3:$A$39,0)),IF(ISBLANK(_xlpm.v),NA(),_xlpm.v))</f>
        <v>781</v>
      </c>
      <c r="D73" s="6" cm="1">
        <f t="array" ref="D73">_xlfn.LET(_xlpm.v,INDEX(D$3:D$39,MATCH($A73,$A$3:$A$39,0)),IF(ISBLANK(_xlpm.v),NA(),_xlpm.v))</f>
        <v>761</v>
      </c>
      <c r="E73" s="6" cm="1">
        <f t="array" ref="E73">_xlfn.LET(_xlpm.v,INDEX(E$3:E$39,MATCH($A73,$A$3:$A$39,0)),IF(ISBLANK(_xlpm.v),NA(),_xlpm.v))</f>
        <v>752</v>
      </c>
      <c r="F73" s="6" cm="1">
        <f t="array" ref="F73">_xlfn.LET(_xlpm.v,INDEX(F$3:F$39,MATCH($A73,$A$3:$A$39,0)),IF(ISBLANK(_xlpm.v),NA(),_xlpm.v))</f>
        <v>790</v>
      </c>
      <c r="G73" s="6" t="e" cm="1">
        <f t="array" ref="G73">_xlfn.LET(_xlpm.v,INDEX(G$3:G$39,MATCH($A73,$A$3:$A$39,0)),IF(ISBLANK(_xlpm.v),NA(),_xlpm.v))</f>
        <v>#N/A</v>
      </c>
      <c r="H73" s="6" t="e" cm="1">
        <f t="array" ref="H73">_xlfn.LET(_xlpm.v,INDEX(H$3:H$39,MATCH($A73,$A$3:$A$39,0)),IF(ISBLANK(_xlpm.v),NA(),_xlpm.v))</f>
        <v>#N/A</v>
      </c>
      <c r="I73" s="6" t="e" cm="1">
        <f t="array" ref="I73">_xlfn.LET(_xlpm.v,INDEX(I$3:I$39,MATCH($A73,$A$3:$A$39,0)),IF(ISBLANK(_xlpm.v),NA(),_xlpm.v))</f>
        <v>#N/A</v>
      </c>
      <c r="J73" s="6" t="e" cm="1">
        <f t="array" ref="J73">_xlfn.LET(_xlpm.v,INDEX(J$3:J$39,MATCH($A73,$A$3:$A$39,0)),IF(ISBLANK(_xlpm.v),NA(),_xlpm.v))</f>
        <v>#N/A</v>
      </c>
      <c r="K73" s="6" t="e" cm="1">
        <f t="array" ref="K73">_xlfn.LET(_xlpm.v,INDEX(K$3:K$39,MATCH($A73,$A$3:$A$39,0)),IF(ISBLANK(_xlpm.v),NA(),_xlpm.v))</f>
        <v>#N/A</v>
      </c>
      <c r="L73" s="6" t="e" cm="1">
        <f t="array" ref="L73">_xlfn.LET(_xlpm.v,INDEX(L$3:L$39,MATCH($A73,$A$3:$A$39,0)),IF(ISBLANK(_xlpm.v),NA(),_xlpm.v))</f>
        <v>#N/A</v>
      </c>
      <c r="M73" s="6" t="e" cm="1">
        <f t="array" ref="M73">_xlfn.LET(_xlpm.v,INDEX(M$3:M$39,MATCH($A73,$A$3:$A$39,0)),IF(ISBLANK(_xlpm.v),NA(),_xlpm.v))</f>
        <v>#N/A</v>
      </c>
      <c r="N73" s="6" t="e" cm="1">
        <f t="array" ref="N73">_xlfn.LET(_xlpm.v,INDEX(N$3:N$39,MATCH($A73,$A$3:$A$39,0)),IF(ISBLANK(_xlpm.v),NA(),_xlpm.v))</f>
        <v>#N/A</v>
      </c>
    </row>
    <row r="74" spans="1:14" x14ac:dyDescent="0.4">
      <c r="A74" s="5">
        <v>65</v>
      </c>
      <c r="B74" s="6" cm="1">
        <f t="array" ref="B74">_xlfn.LET(_xlpm.v,INDEX(B$3:B$39,MATCH($A74,$A$3:$A$39,0)),IF(ISBLANK(_xlpm.v),NA(),_xlpm.v))</f>
        <v>800</v>
      </c>
      <c r="C74" s="6" cm="1">
        <f t="array" ref="C74">_xlfn.LET(_xlpm.v,INDEX(C$3:C$39,MATCH($A74,$A$3:$A$39,0)),IF(ISBLANK(_xlpm.v),NA(),_xlpm.v))</f>
        <v>776</v>
      </c>
      <c r="D74" s="6" cm="1">
        <f t="array" ref="D74">_xlfn.LET(_xlpm.v,INDEX(D$3:D$39,MATCH($A74,$A$3:$A$39,0)),IF(ISBLANK(_xlpm.v),NA(),_xlpm.v))</f>
        <v>761</v>
      </c>
      <c r="E74" s="6" cm="1">
        <f t="array" ref="E74">_xlfn.LET(_xlpm.v,INDEX(E$3:E$39,MATCH($A74,$A$3:$A$39,0)),IF(ISBLANK(_xlpm.v),NA(),_xlpm.v))</f>
        <v>758</v>
      </c>
      <c r="F74" s="6" cm="1">
        <f t="array" ref="F74">_xlfn.LET(_xlpm.v,INDEX(F$3:F$39,MATCH($A74,$A$3:$A$39,0)),IF(ISBLANK(_xlpm.v),NA(),_xlpm.v))</f>
        <v>802</v>
      </c>
      <c r="G74" s="6" t="e" cm="1">
        <f t="array" ref="G74">_xlfn.LET(_xlpm.v,INDEX(G$3:G$39,MATCH($A74,$A$3:$A$39,0)),IF(ISBLANK(_xlpm.v),NA(),_xlpm.v))</f>
        <v>#N/A</v>
      </c>
      <c r="H74" s="6" t="e" cm="1">
        <f t="array" ref="H74">_xlfn.LET(_xlpm.v,INDEX(H$3:H$39,MATCH($A74,$A$3:$A$39,0)),IF(ISBLANK(_xlpm.v),NA(),_xlpm.v))</f>
        <v>#N/A</v>
      </c>
      <c r="I74" s="6" t="e" cm="1">
        <f t="array" ref="I74">_xlfn.LET(_xlpm.v,INDEX(I$3:I$39,MATCH($A74,$A$3:$A$39,0)),IF(ISBLANK(_xlpm.v),NA(),_xlpm.v))</f>
        <v>#N/A</v>
      </c>
      <c r="J74" s="6" t="e" cm="1">
        <f t="array" ref="J74">_xlfn.LET(_xlpm.v,INDEX(J$3:J$39,MATCH($A74,$A$3:$A$39,0)),IF(ISBLANK(_xlpm.v),NA(),_xlpm.v))</f>
        <v>#N/A</v>
      </c>
      <c r="K74" s="6" t="e" cm="1">
        <f t="array" ref="K74">_xlfn.LET(_xlpm.v,INDEX(K$3:K$39,MATCH($A74,$A$3:$A$39,0)),IF(ISBLANK(_xlpm.v),NA(),_xlpm.v))</f>
        <v>#N/A</v>
      </c>
      <c r="L74" s="6" t="e" cm="1">
        <f t="array" ref="L74">_xlfn.LET(_xlpm.v,INDEX(L$3:L$39,MATCH($A74,$A$3:$A$39,0)),IF(ISBLANK(_xlpm.v),NA(),_xlpm.v))</f>
        <v>#N/A</v>
      </c>
      <c r="M74" s="6" t="e" cm="1">
        <f t="array" ref="M74">_xlfn.LET(_xlpm.v,INDEX(M$3:M$39,MATCH($A74,$A$3:$A$39,0)),IF(ISBLANK(_xlpm.v),NA(),_xlpm.v))</f>
        <v>#N/A</v>
      </c>
      <c r="N74" s="6" t="e" cm="1">
        <f t="array" ref="N74">_xlfn.LET(_xlpm.v,INDEX(N$3:N$39,MATCH($A74,$A$3:$A$39,0)),IF(ISBLANK(_xlpm.v),NA(),_xlpm.v))</f>
        <v>#N/A</v>
      </c>
    </row>
    <row r="75" spans="1:14" x14ac:dyDescent="0.4">
      <c r="A75" s="5">
        <v>70</v>
      </c>
      <c r="B75" s="6" cm="1">
        <f t="array" ref="B75">_xlfn.LET(_xlpm.v,INDEX(B$3:B$39,MATCH($A75,$A$3:$A$39,0)),IF(ISBLANK(_xlpm.v),NA(),_xlpm.v))</f>
        <v>774</v>
      </c>
      <c r="C75" s="6" cm="1">
        <f t="array" ref="C75">_xlfn.LET(_xlpm.v,INDEX(C$3:C$39,MATCH($A75,$A$3:$A$39,0)),IF(ISBLANK(_xlpm.v),NA(),_xlpm.v))</f>
        <v>760</v>
      </c>
      <c r="D75" s="6" cm="1">
        <f t="array" ref="D75">_xlfn.LET(_xlpm.v,INDEX(D$3:D$39,MATCH($A75,$A$3:$A$39,0)),IF(ISBLANK(_xlpm.v),NA(),_xlpm.v))</f>
        <v>750</v>
      </c>
      <c r="E75" s="6" cm="1">
        <f t="array" ref="E75">_xlfn.LET(_xlpm.v,INDEX(E$3:E$39,MATCH($A75,$A$3:$A$39,0)),IF(ISBLANK(_xlpm.v),NA(),_xlpm.v))</f>
        <v>753</v>
      </c>
      <c r="F75" s="6" cm="1">
        <f t="array" ref="F75">_xlfn.LET(_xlpm.v,INDEX(F$3:F$39,MATCH($A75,$A$3:$A$39,0)),IF(ISBLANK(_xlpm.v),NA(),_xlpm.v))</f>
        <v>803</v>
      </c>
      <c r="G75" s="6" t="e" cm="1">
        <f t="array" ref="G75">_xlfn.LET(_xlpm.v,INDEX(G$3:G$39,MATCH($A75,$A$3:$A$39,0)),IF(ISBLANK(_xlpm.v),NA(),_xlpm.v))</f>
        <v>#N/A</v>
      </c>
      <c r="H75" s="6" t="e" cm="1">
        <f t="array" ref="H75">_xlfn.LET(_xlpm.v,INDEX(H$3:H$39,MATCH($A75,$A$3:$A$39,0)),IF(ISBLANK(_xlpm.v),NA(),_xlpm.v))</f>
        <v>#N/A</v>
      </c>
      <c r="I75" s="6" t="e" cm="1">
        <f t="array" ref="I75">_xlfn.LET(_xlpm.v,INDEX(I$3:I$39,MATCH($A75,$A$3:$A$39,0)),IF(ISBLANK(_xlpm.v),NA(),_xlpm.v))</f>
        <v>#N/A</v>
      </c>
      <c r="J75" s="6" t="e" cm="1">
        <f t="array" ref="J75">_xlfn.LET(_xlpm.v,INDEX(J$3:J$39,MATCH($A75,$A$3:$A$39,0)),IF(ISBLANK(_xlpm.v),NA(),_xlpm.v))</f>
        <v>#N/A</v>
      </c>
      <c r="K75" s="6" t="e" cm="1">
        <f t="array" ref="K75">_xlfn.LET(_xlpm.v,INDEX(K$3:K$39,MATCH($A75,$A$3:$A$39,0)),IF(ISBLANK(_xlpm.v),NA(),_xlpm.v))</f>
        <v>#N/A</v>
      </c>
      <c r="L75" s="6" t="e" cm="1">
        <f t="array" ref="L75">_xlfn.LET(_xlpm.v,INDEX(L$3:L$39,MATCH($A75,$A$3:$A$39,0)),IF(ISBLANK(_xlpm.v),NA(),_xlpm.v))</f>
        <v>#N/A</v>
      </c>
      <c r="M75" s="6" t="e" cm="1">
        <f t="array" ref="M75">_xlfn.LET(_xlpm.v,INDEX(M$3:M$39,MATCH($A75,$A$3:$A$39,0)),IF(ISBLANK(_xlpm.v),NA(),_xlpm.v))</f>
        <v>#N/A</v>
      </c>
      <c r="N75" s="6" t="e" cm="1">
        <f t="array" ref="N75">_xlfn.LET(_xlpm.v,INDEX(N$3:N$39,MATCH($A75,$A$3:$A$39,0)),IF(ISBLANK(_xlpm.v),NA(),_xlpm.v))</f>
        <v>#N/A</v>
      </c>
    </row>
    <row r="76" spans="1:14" x14ac:dyDescent="0.4">
      <c r="A76" s="5">
        <v>75</v>
      </c>
      <c r="B76" s="6" cm="1">
        <f t="array" ref="B76">_xlfn.LET(_xlpm.v,INDEX(B$3:B$39,MATCH($A76,$A$3:$A$39,0)),IF(ISBLANK(_xlpm.v),NA(),_xlpm.v))</f>
        <v>729</v>
      </c>
      <c r="C76" s="6" cm="1">
        <f t="array" ref="C76">_xlfn.LET(_xlpm.v,INDEX(C$3:C$39,MATCH($A76,$A$3:$A$39,0)),IF(ISBLANK(_xlpm.v),NA(),_xlpm.v))</f>
        <v>730</v>
      </c>
      <c r="D76" s="6" cm="1">
        <f t="array" ref="D76">_xlfn.LET(_xlpm.v,INDEX(D$3:D$39,MATCH($A76,$A$3:$A$39,0)),IF(ISBLANK(_xlpm.v),NA(),_xlpm.v))</f>
        <v>728</v>
      </c>
      <c r="E76" s="6" cm="1">
        <f t="array" ref="E76">_xlfn.LET(_xlpm.v,INDEX(E$3:E$39,MATCH($A76,$A$3:$A$39,0)),IF(ISBLANK(_xlpm.v),NA(),_xlpm.v))</f>
        <v>734</v>
      </c>
      <c r="F76" s="6" cm="1">
        <f t="array" ref="F76">_xlfn.LET(_xlpm.v,INDEX(F$3:F$39,MATCH($A76,$A$3:$A$39,0)),IF(ISBLANK(_xlpm.v),NA(),_xlpm.v))</f>
        <v>793</v>
      </c>
      <c r="G76" s="6" t="e" cm="1">
        <f t="array" ref="G76">_xlfn.LET(_xlpm.v,INDEX(G$3:G$39,MATCH($A76,$A$3:$A$39,0)),IF(ISBLANK(_xlpm.v),NA(),_xlpm.v))</f>
        <v>#N/A</v>
      </c>
      <c r="H76" s="6" t="e" cm="1">
        <f t="array" ref="H76">_xlfn.LET(_xlpm.v,INDEX(H$3:H$39,MATCH($A76,$A$3:$A$39,0)),IF(ISBLANK(_xlpm.v),NA(),_xlpm.v))</f>
        <v>#N/A</v>
      </c>
      <c r="I76" s="6" t="e" cm="1">
        <f t="array" ref="I76">_xlfn.LET(_xlpm.v,INDEX(I$3:I$39,MATCH($A76,$A$3:$A$39,0)),IF(ISBLANK(_xlpm.v),NA(),_xlpm.v))</f>
        <v>#N/A</v>
      </c>
      <c r="J76" s="6" t="e" cm="1">
        <f t="array" ref="J76">_xlfn.LET(_xlpm.v,INDEX(J$3:J$39,MATCH($A76,$A$3:$A$39,0)),IF(ISBLANK(_xlpm.v),NA(),_xlpm.v))</f>
        <v>#N/A</v>
      </c>
      <c r="K76" s="6" t="e" cm="1">
        <f t="array" ref="K76">_xlfn.LET(_xlpm.v,INDEX(K$3:K$39,MATCH($A76,$A$3:$A$39,0)),IF(ISBLANK(_xlpm.v),NA(),_xlpm.v))</f>
        <v>#N/A</v>
      </c>
      <c r="L76" s="6" t="e" cm="1">
        <f t="array" ref="L76">_xlfn.LET(_xlpm.v,INDEX(L$3:L$39,MATCH($A76,$A$3:$A$39,0)),IF(ISBLANK(_xlpm.v),NA(),_xlpm.v))</f>
        <v>#N/A</v>
      </c>
      <c r="M76" s="6" t="e" cm="1">
        <f t="array" ref="M76">_xlfn.LET(_xlpm.v,INDEX(M$3:M$39,MATCH($A76,$A$3:$A$39,0)),IF(ISBLANK(_xlpm.v),NA(),_xlpm.v))</f>
        <v>#N/A</v>
      </c>
      <c r="N76" s="6" t="e" cm="1">
        <f t="array" ref="N76">_xlfn.LET(_xlpm.v,INDEX(N$3:N$39,MATCH($A76,$A$3:$A$39,0)),IF(ISBLANK(_xlpm.v),NA(),_xlpm.v))</f>
        <v>#N/A</v>
      </c>
    </row>
    <row r="77" spans="1:14" x14ac:dyDescent="0.4">
      <c r="A77" s="5">
        <v>80</v>
      </c>
      <c r="B77" s="6" cm="1">
        <f t="array" ref="B77">_xlfn.LET(_xlpm.v,INDEX(B$3:B$39,MATCH($A77,$A$3:$A$39,0)),IF(ISBLANK(_xlpm.v),NA(),_xlpm.v))</f>
        <v>686</v>
      </c>
      <c r="C77" s="6" cm="1">
        <f t="array" ref="C77">_xlfn.LET(_xlpm.v,INDEX(C$3:C$39,MATCH($A77,$A$3:$A$39,0)),IF(ISBLANK(_xlpm.v),NA(),_xlpm.v))</f>
        <v>693</v>
      </c>
      <c r="D77" s="6" cm="1">
        <f t="array" ref="D77">_xlfn.LET(_xlpm.v,INDEX(D$3:D$39,MATCH($A77,$A$3:$A$39,0)),IF(ISBLANK(_xlpm.v),NA(),_xlpm.v))</f>
        <v>695</v>
      </c>
      <c r="E77" s="6" cm="1">
        <f t="array" ref="E77">_xlfn.LET(_xlpm.v,INDEX(E$3:E$39,MATCH($A77,$A$3:$A$39,0)),IF(ISBLANK(_xlpm.v),NA(),_xlpm.v))</f>
        <v>711</v>
      </c>
      <c r="F77" s="6" cm="1">
        <f t="array" ref="F77">_xlfn.LET(_xlpm.v,INDEX(F$3:F$39,MATCH($A77,$A$3:$A$39,0)),IF(ISBLANK(_xlpm.v),NA(),_xlpm.v))</f>
        <v>771</v>
      </c>
      <c r="G77" s="6" t="e" cm="1">
        <f t="array" ref="G77">_xlfn.LET(_xlpm.v,INDEX(G$3:G$39,MATCH($A77,$A$3:$A$39,0)),IF(ISBLANK(_xlpm.v),NA(),_xlpm.v))</f>
        <v>#N/A</v>
      </c>
      <c r="H77" s="6" t="e" cm="1">
        <f t="array" ref="H77">_xlfn.LET(_xlpm.v,INDEX(H$3:H$39,MATCH($A77,$A$3:$A$39,0)),IF(ISBLANK(_xlpm.v),NA(),_xlpm.v))</f>
        <v>#N/A</v>
      </c>
      <c r="I77" s="6" t="e" cm="1">
        <f t="array" ref="I77">_xlfn.LET(_xlpm.v,INDEX(I$3:I$39,MATCH($A77,$A$3:$A$39,0)),IF(ISBLANK(_xlpm.v),NA(),_xlpm.v))</f>
        <v>#N/A</v>
      </c>
      <c r="J77" s="6" t="e" cm="1">
        <f t="array" ref="J77">_xlfn.LET(_xlpm.v,INDEX(J$3:J$39,MATCH($A77,$A$3:$A$39,0)),IF(ISBLANK(_xlpm.v),NA(),_xlpm.v))</f>
        <v>#N/A</v>
      </c>
      <c r="K77" s="6" t="e" cm="1">
        <f t="array" ref="K77">_xlfn.LET(_xlpm.v,INDEX(K$3:K$39,MATCH($A77,$A$3:$A$39,0)),IF(ISBLANK(_xlpm.v),NA(),_xlpm.v))</f>
        <v>#N/A</v>
      </c>
      <c r="L77" s="6" t="e" cm="1">
        <f t="array" ref="L77">_xlfn.LET(_xlpm.v,INDEX(L$3:L$39,MATCH($A77,$A$3:$A$39,0)),IF(ISBLANK(_xlpm.v),NA(),_xlpm.v))</f>
        <v>#N/A</v>
      </c>
      <c r="M77" s="6" t="e" cm="1">
        <f t="array" ref="M77">_xlfn.LET(_xlpm.v,INDEX(M$3:M$39,MATCH($A77,$A$3:$A$39,0)),IF(ISBLANK(_xlpm.v),NA(),_xlpm.v))</f>
        <v>#N/A</v>
      </c>
      <c r="N77" s="6" t="e" cm="1">
        <f t="array" ref="N77">_xlfn.LET(_xlpm.v,INDEX(N$3:N$39,MATCH($A77,$A$3:$A$39,0)),IF(ISBLANK(_xlpm.v),NA(),_xlpm.v))</f>
        <v>#N/A</v>
      </c>
    </row>
    <row r="78" spans="1:14" x14ac:dyDescent="0.4">
      <c r="A78" s="5">
        <v>85</v>
      </c>
      <c r="B78" s="6" cm="1">
        <f t="array" ref="B78">_xlfn.LET(_xlpm.v,INDEX(B$3:B$39,MATCH($A78,$A$3:$A$39,0)),IF(ISBLANK(_xlpm.v),NA(),_xlpm.v))</f>
        <v>628</v>
      </c>
      <c r="C78" s="6" cm="1">
        <f t="array" ref="C78">_xlfn.LET(_xlpm.v,INDEX(C$3:C$39,MATCH($A78,$A$3:$A$39,0)),IF(ISBLANK(_xlpm.v),NA(),_xlpm.v))</f>
        <v>642</v>
      </c>
      <c r="D78" s="6" cm="1">
        <f t="array" ref="D78">_xlfn.LET(_xlpm.v,INDEX(D$3:D$39,MATCH($A78,$A$3:$A$39,0)),IF(ISBLANK(_xlpm.v),NA(),_xlpm.v))</f>
        <v>657</v>
      </c>
      <c r="E78" s="6" cm="1">
        <f t="array" ref="E78">_xlfn.LET(_xlpm.v,INDEX(E$3:E$39,MATCH($A78,$A$3:$A$39,0)),IF(ISBLANK(_xlpm.v),NA(),_xlpm.v))</f>
        <v>672</v>
      </c>
      <c r="F78" s="6" cm="1">
        <f t="array" ref="F78">_xlfn.LET(_xlpm.v,INDEX(F$3:F$39,MATCH($A78,$A$3:$A$39,0)),IF(ISBLANK(_xlpm.v),NA(),_xlpm.v))</f>
        <v>735</v>
      </c>
      <c r="G78" s="6" t="e" cm="1">
        <f t="array" ref="G78">_xlfn.LET(_xlpm.v,INDEX(G$3:G$39,MATCH($A78,$A$3:$A$39,0)),IF(ISBLANK(_xlpm.v),NA(),_xlpm.v))</f>
        <v>#N/A</v>
      </c>
      <c r="H78" s="6" t="e" cm="1">
        <f t="array" ref="H78">_xlfn.LET(_xlpm.v,INDEX(H$3:H$39,MATCH($A78,$A$3:$A$39,0)),IF(ISBLANK(_xlpm.v),NA(),_xlpm.v))</f>
        <v>#N/A</v>
      </c>
      <c r="I78" s="6" t="e" cm="1">
        <f t="array" ref="I78">_xlfn.LET(_xlpm.v,INDEX(I$3:I$39,MATCH($A78,$A$3:$A$39,0)),IF(ISBLANK(_xlpm.v),NA(),_xlpm.v))</f>
        <v>#N/A</v>
      </c>
      <c r="J78" s="6" t="e" cm="1">
        <f t="array" ref="J78">_xlfn.LET(_xlpm.v,INDEX(J$3:J$39,MATCH($A78,$A$3:$A$39,0)),IF(ISBLANK(_xlpm.v),NA(),_xlpm.v))</f>
        <v>#N/A</v>
      </c>
      <c r="K78" s="6" t="e" cm="1">
        <f t="array" ref="K78">_xlfn.LET(_xlpm.v,INDEX(K$3:K$39,MATCH($A78,$A$3:$A$39,0)),IF(ISBLANK(_xlpm.v),NA(),_xlpm.v))</f>
        <v>#N/A</v>
      </c>
      <c r="L78" s="6" t="e" cm="1">
        <f t="array" ref="L78">_xlfn.LET(_xlpm.v,INDEX(L$3:L$39,MATCH($A78,$A$3:$A$39,0)),IF(ISBLANK(_xlpm.v),NA(),_xlpm.v))</f>
        <v>#N/A</v>
      </c>
      <c r="M78" s="6" t="e" cm="1">
        <f t="array" ref="M78">_xlfn.LET(_xlpm.v,INDEX(M$3:M$39,MATCH($A78,$A$3:$A$39,0)),IF(ISBLANK(_xlpm.v),NA(),_xlpm.v))</f>
        <v>#N/A</v>
      </c>
      <c r="N78" s="6" t="e" cm="1">
        <f t="array" ref="N78">_xlfn.LET(_xlpm.v,INDEX(N$3:N$39,MATCH($A78,$A$3:$A$39,0)),IF(ISBLANK(_xlpm.v),NA(),_xlpm.v))</f>
        <v>#N/A</v>
      </c>
    </row>
    <row r="79" spans="1:14" x14ac:dyDescent="0.4">
      <c r="A79" s="5">
        <v>90</v>
      </c>
      <c r="B79" s="6" cm="1">
        <f t="array" ref="B79">_xlfn.LET(_xlpm.v,INDEX(B$3:B$39,MATCH($A79,$A$3:$A$39,0)),IF(ISBLANK(_xlpm.v),NA(),_xlpm.v))</f>
        <v>568</v>
      </c>
      <c r="C79" s="6" cm="1">
        <f t="array" ref="C79">_xlfn.LET(_xlpm.v,INDEX(C$3:C$39,MATCH($A79,$A$3:$A$39,0)),IF(ISBLANK(_xlpm.v),NA(),_xlpm.v))</f>
        <v>593</v>
      </c>
      <c r="D79" s="6" cm="1">
        <f t="array" ref="D79">_xlfn.LET(_xlpm.v,INDEX(D$3:D$39,MATCH($A79,$A$3:$A$39,0)),IF(ISBLANK(_xlpm.v),NA(),_xlpm.v))</f>
        <v>616</v>
      </c>
      <c r="E79" s="6" cm="1">
        <f t="array" ref="E79">_xlfn.LET(_xlpm.v,INDEX(E$3:E$39,MATCH($A79,$A$3:$A$39,0)),IF(ISBLANK(_xlpm.v),NA(),_xlpm.v))</f>
        <v>630</v>
      </c>
      <c r="F79" s="6" cm="1">
        <f t="array" ref="F79">_xlfn.LET(_xlpm.v,INDEX(F$3:F$39,MATCH($A79,$A$3:$A$39,0)),IF(ISBLANK(_xlpm.v),NA(),_xlpm.v))</f>
        <v>694</v>
      </c>
      <c r="G79" s="6" t="e" cm="1">
        <f t="array" ref="G79">_xlfn.LET(_xlpm.v,INDEX(G$3:G$39,MATCH($A79,$A$3:$A$39,0)),IF(ISBLANK(_xlpm.v),NA(),_xlpm.v))</f>
        <v>#N/A</v>
      </c>
      <c r="H79" s="6" t="e" cm="1">
        <f t="array" ref="H79">_xlfn.LET(_xlpm.v,INDEX(H$3:H$39,MATCH($A79,$A$3:$A$39,0)),IF(ISBLANK(_xlpm.v),NA(),_xlpm.v))</f>
        <v>#N/A</v>
      </c>
      <c r="I79" s="6" t="e" cm="1">
        <f t="array" ref="I79">_xlfn.LET(_xlpm.v,INDEX(I$3:I$39,MATCH($A79,$A$3:$A$39,0)),IF(ISBLANK(_xlpm.v),NA(),_xlpm.v))</f>
        <v>#N/A</v>
      </c>
      <c r="J79" s="6" t="e" cm="1">
        <f t="array" ref="J79">_xlfn.LET(_xlpm.v,INDEX(J$3:J$39,MATCH($A79,$A$3:$A$39,0)),IF(ISBLANK(_xlpm.v),NA(),_xlpm.v))</f>
        <v>#N/A</v>
      </c>
      <c r="K79" s="6" t="e" cm="1">
        <f t="array" ref="K79">_xlfn.LET(_xlpm.v,INDEX(K$3:K$39,MATCH($A79,$A$3:$A$39,0)),IF(ISBLANK(_xlpm.v),NA(),_xlpm.v))</f>
        <v>#N/A</v>
      </c>
      <c r="L79" s="6" t="e" cm="1">
        <f t="array" ref="L79">_xlfn.LET(_xlpm.v,INDEX(L$3:L$39,MATCH($A79,$A$3:$A$39,0)),IF(ISBLANK(_xlpm.v),NA(),_xlpm.v))</f>
        <v>#N/A</v>
      </c>
      <c r="M79" s="6" t="e" cm="1">
        <f t="array" ref="M79">_xlfn.LET(_xlpm.v,INDEX(M$3:M$39,MATCH($A79,$A$3:$A$39,0)),IF(ISBLANK(_xlpm.v),NA(),_xlpm.v))</f>
        <v>#N/A</v>
      </c>
      <c r="N79" s="6" t="e" cm="1">
        <f t="array" ref="N79">_xlfn.LET(_xlpm.v,INDEX(N$3:N$39,MATCH($A79,$A$3:$A$39,0)),IF(ISBLANK(_xlpm.v),NA(),_xlpm.v))</f>
        <v>#N/A</v>
      </c>
    </row>
    <row r="80" spans="1:14" x14ac:dyDescent="0.4">
      <c r="A80">
        <v>5</v>
      </c>
      <c r="B80">
        <v>-75</v>
      </c>
      <c r="C80">
        <v>-70</v>
      </c>
      <c r="D80">
        <v>-70</v>
      </c>
      <c r="E80">
        <v>-75</v>
      </c>
      <c r="F80">
        <v>-75</v>
      </c>
    </row>
    <row r="81" spans="1:18" x14ac:dyDescent="0.4">
      <c r="B81">
        <v>-5</v>
      </c>
      <c r="C81">
        <v>0</v>
      </c>
      <c r="D81">
        <v>15</v>
      </c>
      <c r="E81">
        <v>30</v>
      </c>
      <c r="F81">
        <v>30</v>
      </c>
      <c r="Q81">
        <f ca="1">SQRT((B84-B88)/(C84-B88))</f>
        <v>1.2538591767324763</v>
      </c>
    </row>
    <row r="82" spans="1:18" x14ac:dyDescent="0.4">
      <c r="A82" s="5" t="s">
        <v>0</v>
      </c>
      <c r="B82" s="6" cm="1">
        <f t="array" aca="1" ref="B82" ca="1">IF(AND(ISBLANK(CHOOSE(N($A$40&gt;=$A$80)+1,B$80,B$40)),ISBLANK(CHOOSE(N($A$40&gt;=$A$80)+1,B$81,B$41))),NA(),_xlfn.LET(_xlpm.r,INDIRECT("A"&amp;MATCH(B80,$A$43:$A$79,0)+ROW(B43)-1&amp;":A"&amp;MATCH(B81,$A$43:$A$79,0)+ROW(B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0.22787191338073698</v>
      </c>
      <c r="C82" s="6" cm="1">
        <f t="array" aca="1" ref="C82" ca="1">IF(AND(ISBLANK(CHOOSE(N($A$40&gt;=$A$80)+1,C$80,C$40)),ISBLANK(CHOOSE(N($A$40&gt;=$A$80)+1,C$81,C$41))),NA(),_xlfn.LET(_xlpm.r,INDIRECT("A"&amp;MATCH(C80,$A$43:$A$79,0)+ROW(C43)-1&amp;":A"&amp;MATCH(C81,$A$43:$A$79,0)+ROW(C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0.20325824175824164</v>
      </c>
      <c r="D82" s="6" cm="1">
        <f t="array" aca="1" ref="D82" ca="1">IF(AND(ISBLANK(CHOOSE(N($A$40&gt;=$A$80)+1,D$80,D$40)),ISBLANK(CHOOSE(N($A$40&gt;=$A$80)+1,D$81,D$41))),NA(),_xlfn.LET(_xlpm.r,INDIRECT("A"&amp;MATCH(D80,$A$43:$A$79,0)+ROW(D43)-1&amp;":A"&amp;MATCH(D81,$A$43:$A$79,0)+ROW(D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0.18503968008255928</v>
      </c>
      <c r="E82" s="6" cm="1">
        <f t="array" aca="1" ref="E82" ca="1">IF(AND(ISBLANK(CHOOSE(N($A$40&gt;=$A$80)+1,E$80,E$40)),ISBLANK(CHOOSE(N($A$40&gt;=$A$80)+1,E$81,E$41))),NA(),_xlfn.LET(_xlpm.r,INDIRECT("A"&amp;MATCH(E80,$A$43:$A$79,0)+ROW(E43)-1&amp;":A"&amp;MATCH(E81,$A$43:$A$79,0)+ROW(E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0.1664790796160362</v>
      </c>
      <c r="F82" s="6" cm="1">
        <f t="array" aca="1" ref="F82" ca="1">IF(AND(ISBLANK(CHOOSE(N($A$40&gt;=$A$80)+1,F$80,F$40)),ISBLANK(CHOOSE(N($A$40&gt;=$A$80)+1,F$81,F$41))),NA(),_xlfn.LET(_xlpm.r,INDIRECT("A"&amp;MATCH(F80,$A$43:$A$79,0)+ROW(F43)-1&amp;":A"&amp;MATCH(F81,$A$43:$A$79,0)+ROW(F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0.17734184076792778</v>
      </c>
      <c r="G82" s="6" t="e" cm="1">
        <f t="array" aca="1" ref="G82" ca="1">IF(AND(ISBLANK(CHOOSE(N($A$40&gt;=$A$80)+1,G$80,G$40)),ISBLANK(CHOOSE(N($A$40&gt;=$A$80)+1,G$81,G$41))),NA(),_xlfn.LET(_xlpm.r,INDIRECT("A"&amp;MATCH(G80,$A$43:$A$79,0)+ROW(G43)-1&amp;":A"&amp;MATCH(G81,$A$43:$A$79,0)+ROW(G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H82" s="6" t="e" cm="1">
        <f t="array" aca="1" ref="H82" ca="1">IF(AND(ISBLANK(CHOOSE(N($A$40&gt;=$A$80)+1,H$80,H$40)),ISBLANK(CHOOSE(N($A$40&gt;=$A$80)+1,H$81,H$41))),NA(),_xlfn.LET(_xlpm.r,INDIRECT("A"&amp;MATCH(H80,$A$43:$A$79,0)+ROW(H43)-1&amp;":A"&amp;MATCH(H81,$A$43:$A$79,0)+ROW(H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I82" s="6" t="e" cm="1">
        <f t="array" aca="1" ref="I82" ca="1">IF(AND(ISBLANK(CHOOSE(N($A$40&gt;=$A$80)+1,I$80,I$40)),ISBLANK(CHOOSE(N($A$40&gt;=$A$80)+1,I$81,I$41))),NA(),_xlfn.LET(_xlpm.r,INDIRECT("A"&amp;MATCH(I80,$A$43:$A$79,0)+ROW(I43)-1&amp;":A"&amp;MATCH(I81,$A$43:$A$79,0)+ROW(I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J82" s="6" t="e" cm="1">
        <f t="array" aca="1" ref="J82" ca="1">IF(AND(ISBLANK(CHOOSE(N($A$40&gt;=$A$80)+1,J$80,J$40)),ISBLANK(CHOOSE(N($A$40&gt;=$A$80)+1,J$81,J$41))),NA(),_xlfn.LET(_xlpm.r,INDIRECT("A"&amp;MATCH(J80,$A$43:$A$79,0)+ROW(J43)-1&amp;":A"&amp;MATCH(J81,$A$43:$A$79,0)+ROW(J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K82" s="6" t="e" cm="1">
        <f t="array" aca="1" ref="K82" ca="1">IF(AND(ISBLANK(CHOOSE(N($A$40&gt;=$A$80)+1,K$80,K$40)),ISBLANK(CHOOSE(N($A$40&gt;=$A$80)+1,K$81,K$41))),NA(),_xlfn.LET(_xlpm.r,INDIRECT("A"&amp;MATCH(K80,$A$43:$A$79,0)+ROW(K43)-1&amp;":A"&amp;MATCH(K81,$A$43:$A$79,0)+ROW(K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L82" s="6" t="e" cm="1">
        <f t="array" aca="1" ref="L82" ca="1">IF(AND(ISBLANK(CHOOSE(N($A$40&gt;=$A$80)+1,L$80,L$40)),ISBLANK(CHOOSE(N($A$40&gt;=$A$80)+1,L$81,L$41))),NA(),_xlfn.LET(_xlpm.r,INDIRECT("A"&amp;MATCH(L80,$A$43:$A$79,0)+ROW(L43)-1&amp;":A"&amp;MATCH(L81,$A$43:$A$79,0)+ROW(L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M82" s="6" t="e" cm="1">
        <f t="array" aca="1" ref="M82" ca="1">IF(AND(ISBLANK(CHOOSE(N($A$40&gt;=$A$80)+1,M$80,M$40)),ISBLANK(CHOOSE(N($A$40&gt;=$A$80)+1,M$81,M$41))),NA(),_xlfn.LET(_xlpm.r,INDIRECT("A"&amp;MATCH(M80,$A$43:$A$79,0)+ROW(M43)-1&amp;":A"&amp;MATCH(M81,$A$43:$A$79,0)+ROW(M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N82" s="6" t="e" cm="1">
        <f t="array" aca="1" ref="N82" ca="1">IF(AND(ISBLANK(CHOOSE(N($A$40&gt;=$A$80)+1,N$80,N$40)),ISBLANK(CHOOSE(N($A$40&gt;=$A$80)+1,N$81,N$41))),NA(),_xlfn.LET(_xlpm.r,INDIRECT("A"&amp;MATCH(N80,$A$43:$A$79,0)+ROW(N43)-1&amp;":A"&amp;MATCH(N81,$A$43:$A$79,0)+ROW(N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Q82">
        <f ca="1">B85/Q81</f>
        <v>-30.164077079895783</v>
      </c>
      <c r="R82">
        <f ca="1">C85</f>
        <v>-32.325639985943255</v>
      </c>
    </row>
    <row r="83" spans="1:18" x14ac:dyDescent="0.4">
      <c r="A83" s="5" t="s">
        <v>1</v>
      </c>
      <c r="B83" s="6" cm="1">
        <f t="array" aca="1" ref="B83" ca="1">IF(AND(ISBLANK(CHOOSE(N($A$40&gt;=$A$80)+1,B$80,B$40)),ISBLANK(CHOOSE(N($A$40&gt;=$A$80)+1,B$81,B$41))),NA(),_xlfn.LET(_xlpm.r,INDIRECT("A"&amp;MATCH(B80,$A$43:$A$79,0)+ROW(B43)-1&amp;":A"&amp;MATCH(B81,$A$43:$A$79,0)+ROW(B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17.236917356173194</v>
      </c>
      <c r="C83" s="6" cm="1">
        <f t="array" aca="1" ref="C83" ca="1">IF(AND(ISBLANK(CHOOSE(N($A$40&gt;=$A$80)+1,C$80,C$40)),ISBLANK(CHOOSE(N($A$40&gt;=$A$80)+1,C$81,C$41))),NA(),_xlfn.LET(_xlpm.r,INDIRECT("A"&amp;MATCH(C80,$A$43:$A$79,0)+ROW(C43)-1&amp;":A"&amp;MATCH(C81,$A$43:$A$79,0)+ROW(C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13.140905494505475</v>
      </c>
      <c r="D83" s="6" cm="1">
        <f t="array" aca="1" ref="D83" ca="1">IF(AND(ISBLANK(CHOOSE(N($A$40&gt;=$A$80)+1,D$80,D$40)),ISBLANK(CHOOSE(N($A$40&gt;=$A$80)+1,D$81,D$41))),NA(),_xlfn.LET(_xlpm.r,INDIRECT("A"&amp;MATCH(D80,$A$43:$A$79,0)+ROW(D43)-1&amp;":A"&amp;MATCH(D81,$A$43:$A$79,0)+ROW(D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10.528319659442726</v>
      </c>
      <c r="E83" s="6" cm="1">
        <f t="array" aca="1" ref="E83" ca="1">IF(AND(ISBLANK(CHOOSE(N($A$40&gt;=$A$80)+1,E$80,E$40)),ISBLANK(CHOOSE(N($A$40&gt;=$A$80)+1,E$81,E$41))),NA(),_xlfn.LET(_xlpm.r,INDIRECT("A"&amp;MATCH(E80,$A$43:$A$79,0)+ROW(E43)-1&amp;":A"&amp;MATCH(E81,$A$43:$A$79,0)+ROW(E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8.5250549124788293</v>
      </c>
      <c r="F83" s="6" cm="1">
        <f t="array" aca="1" ref="F83" ca="1">IF(AND(ISBLANK(CHOOSE(N($A$40&gt;=$A$80)+1,F$80,F$40)),ISBLANK(CHOOSE(N($A$40&gt;=$A$80)+1,F$81,F$41))),NA(),_xlfn.LET(_xlpm.r,INDIRECT("A"&amp;MATCH(F80,$A$43:$A$79,0)+ROW(F43)-1&amp;":A"&amp;MATCH(F81,$A$43:$A$79,0)+ROW(F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8.3140101637492982</v>
      </c>
      <c r="G83" s="6" t="e" cm="1">
        <f t="array" aca="1" ref="G83" ca="1">IF(AND(ISBLANK(CHOOSE(N($A$40&gt;=$A$80)+1,G$80,G$40)),ISBLANK(CHOOSE(N($A$40&gt;=$A$80)+1,G$81,G$41))),NA(),_xlfn.LET(_xlpm.r,INDIRECT("A"&amp;MATCH(G80,$A$43:$A$79,0)+ROW(G43)-1&amp;":A"&amp;MATCH(G81,$A$43:$A$79,0)+ROW(G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H83" s="6" t="e" cm="1">
        <f t="array" aca="1" ref="H83" ca="1">IF(AND(ISBLANK(CHOOSE(N($A$40&gt;=$A$80)+1,H$80,H$40)),ISBLANK(CHOOSE(N($A$40&gt;=$A$80)+1,H$81,H$41))),NA(),_xlfn.LET(_xlpm.r,INDIRECT("A"&amp;MATCH(H80,$A$43:$A$79,0)+ROW(H43)-1&amp;":A"&amp;MATCH(H81,$A$43:$A$79,0)+ROW(H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I83" s="6" t="e" cm="1">
        <f t="array" aca="1" ref="I83" ca="1">IF(AND(ISBLANK(CHOOSE(N($A$40&gt;=$A$80)+1,I$80,I$40)),ISBLANK(CHOOSE(N($A$40&gt;=$A$80)+1,I$81,I$41))),NA(),_xlfn.LET(_xlpm.r,INDIRECT("A"&amp;MATCH(I80,$A$43:$A$79,0)+ROW(I43)-1&amp;":A"&amp;MATCH(I81,$A$43:$A$79,0)+ROW(I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J83" s="6" t="e" cm="1">
        <f t="array" aca="1" ref="J83" ca="1">IF(AND(ISBLANK(CHOOSE(N($A$40&gt;=$A$80)+1,J$80,J$40)),ISBLANK(CHOOSE(N($A$40&gt;=$A$80)+1,J$81,J$41))),NA(),_xlfn.LET(_xlpm.r,INDIRECT("A"&amp;MATCH(J80,$A$43:$A$79,0)+ROW(J43)-1&amp;":A"&amp;MATCH(J81,$A$43:$A$79,0)+ROW(J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K83" s="6" t="e" cm="1">
        <f t="array" aca="1" ref="K83" ca="1">IF(AND(ISBLANK(CHOOSE(N($A$40&gt;=$A$80)+1,K$80,K$40)),ISBLANK(CHOOSE(N($A$40&gt;=$A$80)+1,K$81,K$41))),NA(),_xlfn.LET(_xlpm.r,INDIRECT("A"&amp;MATCH(K80,$A$43:$A$79,0)+ROW(K43)-1&amp;":A"&amp;MATCH(K81,$A$43:$A$79,0)+ROW(K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L83" s="6" t="e" cm="1">
        <f t="array" aca="1" ref="L83" ca="1">IF(AND(ISBLANK(CHOOSE(N($A$40&gt;=$A$80)+1,L$80,L$40)),ISBLANK(CHOOSE(N($A$40&gt;=$A$80)+1,L$81,L$41))),NA(),_xlfn.LET(_xlpm.r,INDIRECT("A"&amp;MATCH(L80,$A$43:$A$79,0)+ROW(L43)-1&amp;":A"&amp;MATCH(L81,$A$43:$A$79,0)+ROW(L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M83" s="6" t="e" cm="1">
        <f t="array" aca="1" ref="M83" ca="1">IF(AND(ISBLANK(CHOOSE(N($A$40&gt;=$A$80)+1,M$80,M$40)),ISBLANK(CHOOSE(N($A$40&gt;=$A$80)+1,M$81,M$41))),NA(),_xlfn.LET(_xlpm.r,INDIRECT("A"&amp;MATCH(M80,$A$43:$A$79,0)+ROW(M43)-1&amp;":A"&amp;MATCH(M81,$A$43:$A$79,0)+ROW(M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N83" s="6" t="e" cm="1">
        <f t="array" aca="1" ref="N83" ca="1">IF(AND(ISBLANK(CHOOSE(N($A$40&gt;=$A$80)+1,N$80,N$40)),ISBLANK(CHOOSE(N($A$40&gt;=$A$80)+1,N$81,N$41))),NA(),_xlfn.LET(_xlpm.r,INDIRECT("A"&amp;MATCH(N80,$A$43:$A$79,0)+ROW(N43)-1&amp;":A"&amp;MATCH(N81,$A$43:$A$79,0)+ROW(N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</row>
    <row r="84" spans="1:18" x14ac:dyDescent="0.4">
      <c r="A84" s="5" t="s">
        <v>2</v>
      </c>
      <c r="B84" s="6" cm="1">
        <f t="array" aca="1" ref="B84" ca="1">IF(AND(ISBLANK(CHOOSE(N($A$40&gt;=$A$80)+1,B$80,B$40)),ISBLANK(CHOOSE(N($A$40&gt;=$A$80)+1,B$81,B$41))),NA(),_xlfn.LET(_xlpm.r,INDIRECT("A"&amp;MATCH(B80,$A$43:$A$79,0)+ROW(B43)-1&amp;":A"&amp;MATCH(B81,$A$43:$A$79,0)+ROW(B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343.57940659340602</v>
      </c>
      <c r="C84" s="6" cm="1">
        <f t="array" aca="1" ref="C84" ca="1">IF(AND(ISBLANK(CHOOSE(N($A$40&gt;=$A$80)+1,C$80,C$40)),ISBLANK(CHOOSE(N($A$40&gt;=$A$80)+1,C$81,C$41))),NA(),_xlfn.LET(_xlpm.r,INDIRECT("A"&amp;MATCH(C80,$A$43:$A$79,0)+ROW(C43)-1&amp;":A"&amp;MATCH(C81,$A$43:$A$79,0)+ROW(C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224.95050000000003</v>
      </c>
      <c r="D84" s="6" cm="1">
        <f t="array" aca="1" ref="D84" ca="1">IF(AND(ISBLANK(CHOOSE(N($A$40&gt;=$A$80)+1,D$80,D$40)),ISBLANK(CHOOSE(N($A$40&gt;=$A$80)+1,D$81,D$41))),NA(),_xlfn.LET(_xlpm.r,INDIRECT("A"&amp;MATCH(D80,$A$43:$A$79,0)+ROW(D43)-1&amp;":A"&amp;MATCH(D81,$A$43:$A$79,0)+ROW(D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165.41847007223939</v>
      </c>
      <c r="E84" s="6" cm="1">
        <f t="array" aca="1" ref="E84" ca="1">IF(AND(ISBLANK(CHOOSE(N($A$40&gt;=$A$80)+1,E$80,E$40)),ISBLANK(CHOOSE(N($A$40&gt;=$A$80)+1,E$81,E$41))),NA(),_xlfn.LET(_xlpm.r,INDIRECT("A"&amp;MATCH(E80,$A$43:$A$79,0)+ROW(E43)-1&amp;":A"&amp;MATCH(E81,$A$43:$A$79,0)+ROW(E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133.93549124788254</v>
      </c>
      <c r="F84" s="6" cm="1">
        <f t="array" aca="1" ref="F84" ca="1">IF(AND(ISBLANK(CHOOSE(N($A$40&gt;=$A$80)+1,F$80,F$40)),ISBLANK(CHOOSE(N($A$40&gt;=$A$80)+1,F$81,F$41))),NA(),_xlfn.LET(_xlpm.r,INDIRECT("A"&amp;MATCH(F80,$A$43:$A$79,0)+ROW(F43)-1&amp;":A"&amp;MATCH(F81,$A$43:$A$79,0)+ROW(F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120.98160361377759</v>
      </c>
      <c r="G84" s="6" t="e" cm="1">
        <f t="array" aca="1" ref="G84" ca="1">IF(AND(ISBLANK(CHOOSE(N($A$40&gt;=$A$80)+1,G$80,G$40)),ISBLANK(CHOOSE(N($A$40&gt;=$A$80)+1,G$81,G$41))),NA(),_xlfn.LET(_xlpm.r,INDIRECT("A"&amp;MATCH(G80,$A$43:$A$79,0)+ROW(G43)-1&amp;":A"&amp;MATCH(G81,$A$43:$A$79,0)+ROW(G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H84" s="6" t="e" cm="1">
        <f t="array" aca="1" ref="H84" ca="1">IF(AND(ISBLANK(CHOOSE(N($A$40&gt;=$A$80)+1,H$80,H$40)),ISBLANK(CHOOSE(N($A$40&gt;=$A$80)+1,H$81,H$41))),NA(),_xlfn.LET(_xlpm.r,INDIRECT("A"&amp;MATCH(H80,$A$43:$A$79,0)+ROW(H43)-1&amp;":A"&amp;MATCH(H81,$A$43:$A$79,0)+ROW(H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I84" s="6" t="e" cm="1">
        <f t="array" aca="1" ref="I84" ca="1">IF(AND(ISBLANK(CHOOSE(N($A$40&gt;=$A$80)+1,I$80,I$40)),ISBLANK(CHOOSE(N($A$40&gt;=$A$80)+1,I$81,I$41))),NA(),_xlfn.LET(_xlpm.r,INDIRECT("A"&amp;MATCH(I80,$A$43:$A$79,0)+ROW(I43)-1&amp;":A"&amp;MATCH(I81,$A$43:$A$79,0)+ROW(I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J84" s="6" t="e" cm="1">
        <f t="array" aca="1" ref="J84" ca="1">IF(AND(ISBLANK(CHOOSE(N($A$40&gt;=$A$80)+1,J$80,J$40)),ISBLANK(CHOOSE(N($A$40&gt;=$A$80)+1,J$81,J$41))),NA(),_xlfn.LET(_xlpm.r,INDIRECT("A"&amp;MATCH(J80,$A$43:$A$79,0)+ROW(J43)-1&amp;":A"&amp;MATCH(J81,$A$43:$A$79,0)+ROW(J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K84" s="6" t="e" cm="1">
        <f t="array" aca="1" ref="K84" ca="1">IF(AND(ISBLANK(CHOOSE(N($A$40&gt;=$A$80)+1,K$80,K$40)),ISBLANK(CHOOSE(N($A$40&gt;=$A$80)+1,K$81,K$41))),NA(),_xlfn.LET(_xlpm.r,INDIRECT("A"&amp;MATCH(K80,$A$43:$A$79,0)+ROW(K43)-1&amp;":A"&amp;MATCH(K81,$A$43:$A$79,0)+ROW(K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L84" s="6" t="e" cm="1">
        <f t="array" aca="1" ref="L84" ca="1">IF(AND(ISBLANK(CHOOSE(N($A$40&gt;=$A$80)+1,L$80,L$40)),ISBLANK(CHOOSE(N($A$40&gt;=$A$80)+1,L$81,L$41))),NA(),_xlfn.LET(_xlpm.r,INDIRECT("A"&amp;MATCH(L80,$A$43:$A$79,0)+ROW(L43)-1&amp;":A"&amp;MATCH(L81,$A$43:$A$79,0)+ROW(L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M84" s="6" t="e" cm="1">
        <f t="array" aca="1" ref="M84" ca="1">IF(AND(ISBLANK(CHOOSE(N($A$40&gt;=$A$80)+1,M$80,M$40)),ISBLANK(CHOOSE(N($A$40&gt;=$A$80)+1,M$81,M$41))),NA(),_xlfn.LET(_xlpm.r,INDIRECT("A"&amp;MATCH(M80,$A$43:$A$79,0)+ROW(M43)-1&amp;":A"&amp;MATCH(M81,$A$43:$A$79,0)+ROW(M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N84" s="6" t="e" cm="1">
        <f t="array" aca="1" ref="N84" ca="1">IF(AND(ISBLANK(CHOOSE(N($A$40&gt;=$A$80)+1,N$80,N$40)),ISBLANK(CHOOSE(N($A$40&gt;=$A$80)+1,N$81,N$41))),NA(),_xlfn.LET(_xlpm.r,INDIRECT("A"&amp;MATCH(N80,$A$43:$A$79,0)+ROW(N43)-1&amp;":A"&amp;MATCH(N81,$A$43:$A$79,0)+ROW(N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</row>
    <row r="85" spans="1:18" x14ac:dyDescent="0.4">
      <c r="A85" s="5" t="s">
        <v>3</v>
      </c>
      <c r="B85" s="6">
        <f t="shared" ref="B85:N85" ca="1" si="1">IF(AND(ISBLANK(CHOOSE(N($A$40&gt;=$A$80)+1,B$80,B$40)),ISBLANK(CHOOSE(N($A$40&gt;=$A$80)+1,B$81,B$41))),NA(),(-B83)/(2*B82))</f>
        <v>-37.821504854293082</v>
      </c>
      <c r="C85" s="6">
        <f t="shared" ca="1" si="1"/>
        <v>-32.325639985943255</v>
      </c>
      <c r="D85" s="6">
        <f t="shared" ca="1" si="1"/>
        <v>-28.448816099188289</v>
      </c>
      <c r="E85" s="6">
        <f t="shared" ca="1" si="1"/>
        <v>-25.603982590908224</v>
      </c>
      <c r="F85" s="6">
        <f t="shared" ca="1" si="1"/>
        <v>-23.440633433565004</v>
      </c>
      <c r="G85" s="6" t="e">
        <f t="shared" si="1"/>
        <v>#N/A</v>
      </c>
      <c r="H85" s="6" t="e">
        <f t="shared" si="1"/>
        <v>#N/A</v>
      </c>
      <c r="I85" s="6" t="e">
        <f t="shared" si="1"/>
        <v>#N/A</v>
      </c>
      <c r="J85" s="6" t="e">
        <f t="shared" si="1"/>
        <v>#N/A</v>
      </c>
      <c r="K85" s="6" t="e">
        <f t="shared" si="1"/>
        <v>#N/A</v>
      </c>
      <c r="L85" s="6" t="e">
        <f t="shared" si="1"/>
        <v>#N/A</v>
      </c>
      <c r="M85" s="6" t="e">
        <f t="shared" si="1"/>
        <v>#N/A</v>
      </c>
      <c r="N85" s="6" t="e">
        <f t="shared" si="1"/>
        <v>#N/A</v>
      </c>
    </row>
    <row r="86" spans="1:18" x14ac:dyDescent="0.4">
      <c r="A86" s="5" t="s">
        <v>4</v>
      </c>
      <c r="B86" s="6">
        <f t="shared" ref="B86:N86" ca="1" si="2">IF(AND(ISBLANK(CHOOSE(N($A$40&gt;=$A$80)+1,B$80,B$40)),ISBLANK(CHOOSE(N($A$40&gt;=$A$80)+1,B$81,B$41))),NA(),B82*B85^2+B83*B85+B84)</f>
        <v>17.616329863629403</v>
      </c>
      <c r="C86" s="6">
        <f t="shared" ca="1" si="2"/>
        <v>12.556409947656192</v>
      </c>
      <c r="D86" s="6">
        <f t="shared" ca="1" si="2"/>
        <v>15.659355159761958</v>
      </c>
      <c r="E86" s="6">
        <f t="shared" ca="1" si="2"/>
        <v>24.797812465060261</v>
      </c>
      <c r="F86" s="6">
        <f t="shared" ca="1" si="2"/>
        <v>23.53877130808705</v>
      </c>
      <c r="G86" s="6" t="e">
        <f t="shared" si="2"/>
        <v>#N/A</v>
      </c>
      <c r="H86" s="6" t="e">
        <f t="shared" si="2"/>
        <v>#N/A</v>
      </c>
      <c r="I86" s="6" t="e">
        <f t="shared" si="2"/>
        <v>#N/A</v>
      </c>
      <c r="J86" s="6" t="e">
        <f t="shared" si="2"/>
        <v>#N/A</v>
      </c>
      <c r="K86" s="6" t="e">
        <f t="shared" si="2"/>
        <v>#N/A</v>
      </c>
      <c r="L86" s="6" t="e">
        <f t="shared" si="2"/>
        <v>#N/A</v>
      </c>
      <c r="M86" s="6" t="e">
        <f t="shared" si="2"/>
        <v>#N/A</v>
      </c>
      <c r="N86" s="6" t="e">
        <f t="shared" si="2"/>
        <v>#N/A</v>
      </c>
    </row>
    <row r="87" spans="1:18" ht="19.5" thickBot="1" x14ac:dyDescent="0.45">
      <c r="A87" s="10" t="s">
        <v>5</v>
      </c>
      <c r="B87" s="11" cm="1">
        <f t="array" aca="1" ref="B87" ca="1">IF(AND(ISBLANK(CHOOSE(N($A$40&gt;=$A$80)+1,B$80,B$40)),ISBLANK(CHOOSE(N($A$40&gt;=$A$80)+1,B$81,B$41))),NA(),_xlfn.LET(_xlpm.a,INDIRECT("A"&amp;MATCH(B80,$A$43:$A$79,0)+ROW(B43)-1&amp;":A"&amp;MATCH(B81,$A$43:$A$79,0)+ROW(B43)-1),_xlpm.b,INDIRECT(ADDRESS(MATCH(B80,$A$43:$A$79,0)+ROW(B43)-1,COLUMN())&amp;":"&amp;ADDRESS(MATCH(B81,$A$43:$A$79,0)+ROW(B43)-1,COLUMN())),1-SUM((B82*_xlpm.a^2+B83*_xlpm.a+B84-_xlpm.b)^2)/SUM((_xlpm.b-AVERAGE(_xlpm.b))^2)))</f>
        <v>0.99759776200168193</v>
      </c>
      <c r="C87" s="11" cm="1">
        <f t="array" aca="1" ref="C87" ca="1">IF(AND(ISBLANK(CHOOSE(N($A$40&gt;=$A$80)+1,C$80,C$40)),ISBLANK(CHOOSE(N($A$40&gt;=$A$80)+1,C$81,C$41))),NA(),_xlfn.LET(_xlpm.a,INDIRECT("A"&amp;MATCH(C80,$A$43:$A$79,0)+ROW(C43)-1&amp;":A"&amp;MATCH(C81,$A$43:$A$79,0)+ROW(C43)-1),_xlpm.b,INDIRECT(ADDRESS(MATCH(C80,$A$43:$A$79,0)+ROW(C43)-1,COLUMN())&amp;":"&amp;ADDRESS(MATCH(C81,$A$43:$A$79,0)+ROW(C43)-1,COLUMN())),1-SUM((C82*_xlpm.a^2+C83*_xlpm.a+C84-_xlpm.b)^2)/SUM((_xlpm.b-AVERAGE(_xlpm.b))^2)))</f>
        <v>0.99843948315002407</v>
      </c>
      <c r="D87" s="11" cm="1">
        <f t="array" aca="1" ref="D87" ca="1">IF(AND(ISBLANK(CHOOSE(N($A$40&gt;=$A$80)+1,D$80,D$40)),ISBLANK(CHOOSE(N($A$40&gt;=$A$80)+1,D$81,D$41))),NA(),_xlfn.LET(_xlpm.a,INDIRECT("A"&amp;MATCH(D80,$A$43:$A$79,0)+ROW(D43)-1&amp;":A"&amp;MATCH(D81,$A$43:$A$79,0)+ROW(D43)-1),_xlpm.b,INDIRECT(ADDRESS(MATCH(D80,$A$43:$A$79,0)+ROW(D43)-1,COLUMN())&amp;":"&amp;ADDRESS(MATCH(D81,$A$43:$A$79,0)+ROW(D43)-1,COLUMN())),1-SUM((D82*_xlpm.a^2+D83*_xlpm.a+D84-_xlpm.b)^2)/SUM((_xlpm.b-AVERAGE(_xlpm.b))^2)))</f>
        <v>0.99583488129166053</v>
      </c>
      <c r="E87" s="11" cm="1">
        <f t="array" aca="1" ref="E87" ca="1">IF(AND(ISBLANK(CHOOSE(N($A$40&gt;=$A$80)+1,E$80,E$40)),ISBLANK(CHOOSE(N($A$40&gt;=$A$80)+1,E$81,E$41))),NA(),_xlfn.LET(_xlpm.a,INDIRECT("A"&amp;MATCH(E80,$A$43:$A$79,0)+ROW(E43)-1&amp;":A"&amp;MATCH(E81,$A$43:$A$79,0)+ROW(E43)-1),_xlpm.b,INDIRECT(ADDRESS(MATCH(E80,$A$43:$A$79,0)+ROW(E43)-1,COLUMN())&amp;":"&amp;ADDRESS(MATCH(E81,$A$43:$A$79,0)+ROW(E43)-1,COLUMN())),1-SUM((E82*_xlpm.a^2+E83*_xlpm.a+E84-_xlpm.b)^2)/SUM((_xlpm.b-AVERAGE(_xlpm.b))^2)))</f>
        <v>0.99039493669297918</v>
      </c>
      <c r="F87" s="11" cm="1">
        <f t="array" aca="1" ref="F87" ca="1">IF(AND(ISBLANK(CHOOSE(N($A$40&gt;=$A$80)+1,F$80,F$40)),ISBLANK(CHOOSE(N($A$40&gt;=$A$80)+1,F$81,F$41))),NA(),_xlfn.LET(_xlpm.a,INDIRECT("A"&amp;MATCH(F80,$A$43:$A$79,0)+ROW(F43)-1&amp;":A"&amp;MATCH(F81,$A$43:$A$79,0)+ROW(F43)-1),_xlpm.b,INDIRECT(ADDRESS(MATCH(F80,$A$43:$A$79,0)+ROW(F43)-1,COLUMN())&amp;":"&amp;ADDRESS(MATCH(F81,$A$43:$A$79,0)+ROW(F43)-1,COLUMN())),1-SUM((F82*_xlpm.a^2+F83*_xlpm.a+F84-_xlpm.b)^2)/SUM((_xlpm.b-AVERAGE(_xlpm.b))^2)))</f>
        <v>0.99427883843475628</v>
      </c>
      <c r="G87" s="11" t="e" cm="1">
        <f t="array" aca="1" ref="G87" ca="1">IF(AND(ISBLANK(CHOOSE(N($A$40&gt;=$A$80)+1,G$80,G$40)),ISBLANK(CHOOSE(N($A$40&gt;=$A$80)+1,G$81,G$41))),NA(),_xlfn.LET(_xlpm.a,INDIRECT("A"&amp;MATCH(G80,$A$43:$A$79,0)+ROW(G43)-1&amp;":A"&amp;MATCH(G81,$A$43:$A$79,0)+ROW(G43)-1),_xlpm.b,INDIRECT(ADDRESS(MATCH(G80,$A$43:$A$79,0)+ROW(G43)-1,COLUMN())&amp;":"&amp;ADDRESS(MATCH(G81,$A$43:$A$79,0)+ROW(G43)-1,COLUMN())),1-SUM((G82*_xlpm.a^2+G83*_xlpm.a+G84-_xlpm.b)^2)/SUM((_xlpm.b-AVERAGE(_xlpm.b))^2)))</f>
        <v>#N/A</v>
      </c>
      <c r="H87" s="11" t="e" cm="1">
        <f t="array" aca="1" ref="H87" ca="1">IF(AND(ISBLANK(CHOOSE(N($A$40&gt;=$A$80)+1,H$80,H$40)),ISBLANK(CHOOSE(N($A$40&gt;=$A$80)+1,H$81,H$41))),NA(),_xlfn.LET(_xlpm.a,INDIRECT("A"&amp;MATCH(H80,$A$43:$A$79,0)+ROW(H43)-1&amp;":A"&amp;MATCH(H81,$A$43:$A$79,0)+ROW(H43)-1),_xlpm.b,INDIRECT(ADDRESS(MATCH(H80,$A$43:$A$79,0)+ROW(H43)-1,COLUMN())&amp;":"&amp;ADDRESS(MATCH(H81,$A$43:$A$79,0)+ROW(H43)-1,COLUMN())),1-SUM((H82*_xlpm.a^2+H83*_xlpm.a+H84-_xlpm.b)^2)/SUM((_xlpm.b-AVERAGE(_xlpm.b))^2)))</f>
        <v>#N/A</v>
      </c>
      <c r="I87" s="11" t="e" cm="1">
        <f t="array" aca="1" ref="I87" ca="1">IF(AND(ISBLANK(CHOOSE(N($A$40&gt;=$A$80)+1,I$80,I$40)),ISBLANK(CHOOSE(N($A$40&gt;=$A$80)+1,I$81,I$41))),NA(),_xlfn.LET(_xlpm.a,INDIRECT("A"&amp;MATCH(I80,$A$43:$A$79,0)+ROW(I43)-1&amp;":A"&amp;MATCH(I81,$A$43:$A$79,0)+ROW(I43)-1),_xlpm.b,INDIRECT(ADDRESS(MATCH(I80,$A$43:$A$79,0)+ROW(I43)-1,COLUMN())&amp;":"&amp;ADDRESS(MATCH(I81,$A$43:$A$79,0)+ROW(I43)-1,COLUMN())),1-SUM((I82*_xlpm.a^2+I83*_xlpm.a+I84-_xlpm.b)^2)/SUM((_xlpm.b-AVERAGE(_xlpm.b))^2)))</f>
        <v>#N/A</v>
      </c>
      <c r="J87" s="11" t="e" cm="1">
        <f t="array" aca="1" ref="J87" ca="1">IF(AND(ISBLANK(CHOOSE(N($A$40&gt;=$A$80)+1,J$80,J$40)),ISBLANK(CHOOSE(N($A$40&gt;=$A$80)+1,J$81,J$41))),NA(),_xlfn.LET(_xlpm.a,INDIRECT("A"&amp;MATCH(J80,$A$43:$A$79,0)+ROW(J43)-1&amp;":A"&amp;MATCH(J81,$A$43:$A$79,0)+ROW(J43)-1),_xlpm.b,INDIRECT(ADDRESS(MATCH(J80,$A$43:$A$79,0)+ROW(J43)-1,COLUMN())&amp;":"&amp;ADDRESS(MATCH(J81,$A$43:$A$79,0)+ROW(J43)-1,COLUMN())),1-SUM((J82*_xlpm.a^2+J83*_xlpm.a+J84-_xlpm.b)^2)/SUM((_xlpm.b-AVERAGE(_xlpm.b))^2)))</f>
        <v>#N/A</v>
      </c>
      <c r="K87" s="11" t="e" cm="1">
        <f t="array" aca="1" ref="K87" ca="1">IF(AND(ISBLANK(CHOOSE(N($A$40&gt;=$A$80)+1,K$80,K$40)),ISBLANK(CHOOSE(N($A$40&gt;=$A$80)+1,K$81,K$41))),NA(),_xlfn.LET(_xlpm.a,INDIRECT("A"&amp;MATCH(K80,$A$43:$A$79,0)+ROW(K43)-1&amp;":A"&amp;MATCH(K81,$A$43:$A$79,0)+ROW(K43)-1),_xlpm.b,INDIRECT(ADDRESS(MATCH(K80,$A$43:$A$79,0)+ROW(K43)-1,COLUMN())&amp;":"&amp;ADDRESS(MATCH(K81,$A$43:$A$79,0)+ROW(K43)-1,COLUMN())),1-SUM((K82*_xlpm.a^2+K83*_xlpm.a+K84-_xlpm.b)^2)/SUM((_xlpm.b-AVERAGE(_xlpm.b))^2)))</f>
        <v>#N/A</v>
      </c>
      <c r="L87" s="11" t="e" cm="1">
        <f t="array" aca="1" ref="L87" ca="1">IF(AND(ISBLANK(CHOOSE(N($A$40&gt;=$A$80)+1,L$80,L$40)),ISBLANK(CHOOSE(N($A$40&gt;=$A$80)+1,L$81,L$41))),NA(),_xlfn.LET(_xlpm.a,INDIRECT("A"&amp;MATCH(L80,$A$43:$A$79,0)+ROW(L43)-1&amp;":A"&amp;MATCH(L81,$A$43:$A$79,0)+ROW(L43)-1),_xlpm.b,INDIRECT(ADDRESS(MATCH(L80,$A$43:$A$79,0)+ROW(L43)-1,COLUMN())&amp;":"&amp;ADDRESS(MATCH(L81,$A$43:$A$79,0)+ROW(L43)-1,COLUMN())),1-SUM((L82*_xlpm.a^2+L83*_xlpm.a+L84-_xlpm.b)^2)/SUM((_xlpm.b-AVERAGE(_xlpm.b))^2)))</f>
        <v>#N/A</v>
      </c>
      <c r="M87" s="11" t="e" cm="1">
        <f t="array" aca="1" ref="M87" ca="1">IF(AND(ISBLANK(CHOOSE(N($A$40&gt;=$A$80)+1,M$80,M$40)),ISBLANK(CHOOSE(N($A$40&gt;=$A$80)+1,M$81,M$41))),NA(),_xlfn.LET(_xlpm.a,INDIRECT("A"&amp;MATCH(M80,$A$43:$A$79,0)+ROW(M43)-1&amp;":A"&amp;MATCH(M81,$A$43:$A$79,0)+ROW(M43)-1),_xlpm.b,INDIRECT(ADDRESS(MATCH(M80,$A$43:$A$79,0)+ROW(M43)-1,COLUMN())&amp;":"&amp;ADDRESS(MATCH(M81,$A$43:$A$79,0)+ROW(M43)-1,COLUMN())),1-SUM((M82*_xlpm.a^2+M83*_xlpm.a+M84-_xlpm.b)^2)/SUM((_xlpm.b-AVERAGE(_xlpm.b))^2)))</f>
        <v>#N/A</v>
      </c>
      <c r="N87" s="11" t="e" cm="1">
        <f t="array" aca="1" ref="N87" ca="1">IF(AND(ISBLANK(CHOOSE(N($A$40&gt;=$A$80)+1,N$80,N$40)),ISBLANK(CHOOSE(N($A$40&gt;=$A$80)+1,N$81,N$41))),NA(),_xlfn.LET(_xlpm.a,INDIRECT("A"&amp;MATCH(N80,$A$43:$A$79,0)+ROW(N43)-1&amp;":A"&amp;MATCH(N81,$A$43:$A$79,0)+ROW(N43)-1),_xlpm.b,INDIRECT(ADDRESS(MATCH(N80,$A$43:$A$79,0)+ROW(N43)-1,COLUMN())&amp;":"&amp;ADDRESS(MATCH(N81,$A$43:$A$79,0)+ROW(N43)-1,COLUMN())),1-SUM((N82*_xlpm.a^2+N83*_xlpm.a+N84-_xlpm.b)^2)/SUM((_xlpm.b-AVERAGE(_xlpm.b))^2)))</f>
        <v>#N/A</v>
      </c>
    </row>
    <row r="88" spans="1:18" x14ac:dyDescent="0.4">
      <c r="B88">
        <f ca="1">B82*B85^2+B83*B85+B84</f>
        <v>17.616329863629403</v>
      </c>
    </row>
    <row r="89" spans="1:18" x14ac:dyDescent="0.4">
      <c r="A89" s="5" t="e">
        <f>IF(AND(COUNTIF(CHOOSE(N($A$40&gt;=$A$80)+1,$B$80:$N$80,$B$40:$N$40),"&lt;="&amp;-90)&gt;0,COUNTIF(CHOOSE(N($A$40&gt;=$A$80)+1,$B$81:$N$81,$B$41:$N$41),"&gt;="&amp;-90)&gt;0),-90,NA())</f>
        <v>#N/A</v>
      </c>
      <c r="B89" s="6" t="e">
        <f t="shared" ref="B89:N104" si="3">IF(ISNA(B43),NA(),IF(AND($A89&gt;=CHOOSE(N($A$40&gt;=$A$80)+1,B$80,B$40),$A89&lt;=CHOOSE(N($A$40&gt;=$A$80)+1,B$81,B$41)),B43,NA()))</f>
        <v>#N/A</v>
      </c>
      <c r="C89" s="6" t="e">
        <f t="shared" si="3"/>
        <v>#N/A</v>
      </c>
      <c r="D89" s="6" t="e">
        <f t="shared" si="3"/>
        <v>#N/A</v>
      </c>
      <c r="E89" s="6" t="e">
        <f t="shared" si="3"/>
        <v>#N/A</v>
      </c>
      <c r="F89" s="6" t="e">
        <f t="shared" si="3"/>
        <v>#N/A</v>
      </c>
      <c r="G89" s="6" t="e">
        <f t="shared" si="3"/>
        <v>#N/A</v>
      </c>
      <c r="H89" s="6" t="e">
        <f t="shared" si="3"/>
        <v>#N/A</v>
      </c>
      <c r="I89" s="6" t="e">
        <f t="shared" si="3"/>
        <v>#N/A</v>
      </c>
      <c r="J89" s="6" t="e">
        <f t="shared" si="3"/>
        <v>#N/A</v>
      </c>
      <c r="K89" s="6" t="e">
        <f t="shared" si="3"/>
        <v>#N/A</v>
      </c>
      <c r="L89" s="6" t="e">
        <f t="shared" si="3"/>
        <v>#N/A</v>
      </c>
      <c r="M89" s="6" t="e">
        <f t="shared" si="3"/>
        <v>#N/A</v>
      </c>
      <c r="N89" s="6" t="e">
        <f t="shared" si="3"/>
        <v>#N/A</v>
      </c>
    </row>
    <row r="90" spans="1:18" x14ac:dyDescent="0.4">
      <c r="A90" s="5" t="e">
        <f>IF(AND(COUNTIF(CHOOSE(N($A$40&gt;=$A$80)+1,$B$80:$N$80,$B$40:$N$40),"&lt;="&amp;-85)&gt;0,COUNTIF(CHOOSE(N($A$40&gt;=$A$80)+1,$B$81:$N$81,$B$41:$N$41),"&gt;="&amp;-85)&gt;0),-85,NA())</f>
        <v>#N/A</v>
      </c>
      <c r="B90" s="6" t="e">
        <f t="shared" si="3"/>
        <v>#N/A</v>
      </c>
      <c r="C90" s="6" t="e">
        <f t="shared" si="3"/>
        <v>#N/A</v>
      </c>
      <c r="D90" s="6" t="e">
        <f t="shared" si="3"/>
        <v>#N/A</v>
      </c>
      <c r="E90" s="6" t="e">
        <f t="shared" si="3"/>
        <v>#N/A</v>
      </c>
      <c r="F90" s="6" t="e">
        <f t="shared" si="3"/>
        <v>#N/A</v>
      </c>
      <c r="G90" s="6" t="e">
        <f t="shared" si="3"/>
        <v>#N/A</v>
      </c>
      <c r="H90" s="6" t="e">
        <f t="shared" si="3"/>
        <v>#N/A</v>
      </c>
      <c r="I90" s="6" t="e">
        <f t="shared" si="3"/>
        <v>#N/A</v>
      </c>
      <c r="J90" s="6" t="e">
        <f t="shared" si="3"/>
        <v>#N/A</v>
      </c>
      <c r="K90" s="6" t="e">
        <f t="shared" si="3"/>
        <v>#N/A</v>
      </c>
      <c r="L90" s="6" t="e">
        <f t="shared" si="3"/>
        <v>#N/A</v>
      </c>
      <c r="M90" s="6" t="e">
        <f t="shared" si="3"/>
        <v>#N/A</v>
      </c>
      <c r="N90" s="6" t="e">
        <f t="shared" si="3"/>
        <v>#N/A</v>
      </c>
    </row>
    <row r="91" spans="1:18" x14ac:dyDescent="0.4">
      <c r="A91" s="5" t="e">
        <f>IF(AND(COUNTIF(CHOOSE(N($A$40&gt;=$A$80)+1,$B$80:$N$80,$B$40:$N$40),"&lt;="&amp;-80)&gt;0,COUNTIF(CHOOSE(N($A$40&gt;=$A$80)+1,$B$81:$N$81,$B$41:$N$41),"&gt;="&amp;-80)&gt;0),-80,NA())</f>
        <v>#N/A</v>
      </c>
      <c r="B91" s="6" t="e">
        <f t="shared" si="3"/>
        <v>#N/A</v>
      </c>
      <c r="C91" s="6" t="e">
        <f t="shared" si="3"/>
        <v>#N/A</v>
      </c>
      <c r="D91" s="6" t="e">
        <f t="shared" si="3"/>
        <v>#N/A</v>
      </c>
      <c r="E91" s="6" t="e">
        <f t="shared" si="3"/>
        <v>#N/A</v>
      </c>
      <c r="F91" s="6" t="e">
        <f t="shared" si="3"/>
        <v>#N/A</v>
      </c>
      <c r="G91" s="6" t="e">
        <f t="shared" si="3"/>
        <v>#N/A</v>
      </c>
      <c r="H91" s="6" t="e">
        <f t="shared" si="3"/>
        <v>#N/A</v>
      </c>
      <c r="I91" s="6" t="e">
        <f t="shared" si="3"/>
        <v>#N/A</v>
      </c>
      <c r="J91" s="6" t="e">
        <f t="shared" si="3"/>
        <v>#N/A</v>
      </c>
      <c r="K91" s="6" t="e">
        <f t="shared" si="3"/>
        <v>#N/A</v>
      </c>
      <c r="L91" s="6" t="e">
        <f t="shared" si="3"/>
        <v>#N/A</v>
      </c>
      <c r="M91" s="6" t="e">
        <f t="shared" si="3"/>
        <v>#N/A</v>
      </c>
      <c r="N91" s="6" t="e">
        <f t="shared" si="3"/>
        <v>#N/A</v>
      </c>
    </row>
    <row r="92" spans="1:18" x14ac:dyDescent="0.4">
      <c r="A92" s="5">
        <f>IF(AND(COUNTIF(CHOOSE(N($A$40&gt;=$A$80)+1,$B$80:$N$80,$B$40:$N$40),"&lt;="&amp;-75)&gt;0,COUNTIF(CHOOSE(N($A$40&gt;=$A$80)+1,$B$81:$N$81,$B$41:$N$41),"&gt;="&amp;-75)&gt;0),-75,NA())</f>
        <v>-75</v>
      </c>
      <c r="B92" s="6">
        <f t="shared" si="3"/>
        <v>324.39999999999998</v>
      </c>
      <c r="C92" s="6" t="e">
        <f t="shared" si="3"/>
        <v>#N/A</v>
      </c>
      <c r="D92" s="6" t="e">
        <f t="shared" si="3"/>
        <v>#N/A</v>
      </c>
      <c r="E92" s="6">
        <f t="shared" si="3"/>
        <v>426</v>
      </c>
      <c r="F92" s="6">
        <f t="shared" si="3"/>
        <v>476</v>
      </c>
      <c r="G92" s="6" t="e">
        <f t="shared" si="3"/>
        <v>#N/A</v>
      </c>
      <c r="H92" s="6" t="e">
        <f t="shared" si="3"/>
        <v>#N/A</v>
      </c>
      <c r="I92" s="6" t="e">
        <f t="shared" si="3"/>
        <v>#N/A</v>
      </c>
      <c r="J92" s="6" t="e">
        <f t="shared" si="3"/>
        <v>#N/A</v>
      </c>
      <c r="K92" s="6" t="e">
        <f t="shared" si="3"/>
        <v>#N/A</v>
      </c>
      <c r="L92" s="6" t="e">
        <f t="shared" si="3"/>
        <v>#N/A</v>
      </c>
      <c r="M92" s="6" t="e">
        <f t="shared" si="3"/>
        <v>#N/A</v>
      </c>
      <c r="N92" s="6" t="e">
        <f t="shared" si="3"/>
        <v>#N/A</v>
      </c>
    </row>
    <row r="93" spans="1:18" x14ac:dyDescent="0.4">
      <c r="A93" s="5">
        <f>IF(AND(COUNTIF(CHOOSE(N($A$40&gt;=$A$80)+1,$B$80:$N$80,$B$40:$N$40),"&lt;="&amp;-70)&gt;0,COUNTIF(CHOOSE(N($A$40&gt;=$A$80)+1,$B$81:$N$81,$B$41:$N$41),"&gt;="&amp;-70)&gt;0),-70,NA())</f>
        <v>-70</v>
      </c>
      <c r="B93" s="6">
        <f t="shared" si="3"/>
        <v>251.9</v>
      </c>
      <c r="C93" s="6">
        <f t="shared" si="3"/>
        <v>294.2</v>
      </c>
      <c r="D93" s="6">
        <f t="shared" si="3"/>
        <v>335</v>
      </c>
      <c r="E93" s="6">
        <f t="shared" si="3"/>
        <v>358.7</v>
      </c>
      <c r="F93" s="6">
        <f t="shared" si="3"/>
        <v>405</v>
      </c>
      <c r="G93" s="6" t="e">
        <f t="shared" si="3"/>
        <v>#N/A</v>
      </c>
      <c r="H93" s="6" t="e">
        <f t="shared" si="3"/>
        <v>#N/A</v>
      </c>
      <c r="I93" s="6" t="e">
        <f t="shared" si="3"/>
        <v>#N/A</v>
      </c>
      <c r="J93" s="6" t="e">
        <f t="shared" si="3"/>
        <v>#N/A</v>
      </c>
      <c r="K93" s="6" t="e">
        <f t="shared" si="3"/>
        <v>#N/A</v>
      </c>
      <c r="L93" s="6" t="e">
        <f t="shared" si="3"/>
        <v>#N/A</v>
      </c>
      <c r="M93" s="6" t="e">
        <f t="shared" si="3"/>
        <v>#N/A</v>
      </c>
      <c r="N93" s="6" t="e">
        <f t="shared" si="3"/>
        <v>#N/A</v>
      </c>
    </row>
    <row r="94" spans="1:18" x14ac:dyDescent="0.4">
      <c r="A94" s="5">
        <f>IF(AND(COUNTIF(CHOOSE(N($A$40&gt;=$A$80)+1,$B$80:$N$80,$B$40:$N$40),"&lt;="&amp;-65)&gt;0,COUNTIF(CHOOSE(N($A$40&gt;=$A$80)+1,$B$81:$N$81,$B$41:$N$41),"&gt;="&amp;-65)&gt;0),-65,NA())</f>
        <v>-65</v>
      </c>
      <c r="B94" s="6">
        <f t="shared" si="3"/>
        <v>192.5</v>
      </c>
      <c r="C94" s="6">
        <f t="shared" si="3"/>
        <v>230.02</v>
      </c>
      <c r="D94" s="6">
        <f t="shared" si="3"/>
        <v>260.7</v>
      </c>
      <c r="E94" s="6">
        <f t="shared" si="3"/>
        <v>292.3</v>
      </c>
      <c r="F94" s="6">
        <f t="shared" si="3"/>
        <v>343</v>
      </c>
      <c r="G94" s="6" t="e">
        <f t="shared" si="3"/>
        <v>#N/A</v>
      </c>
      <c r="H94" s="6" t="e">
        <f t="shared" si="3"/>
        <v>#N/A</v>
      </c>
      <c r="I94" s="6" t="e">
        <f t="shared" si="3"/>
        <v>#N/A</v>
      </c>
      <c r="J94" s="6" t="e">
        <f t="shared" si="3"/>
        <v>#N/A</v>
      </c>
      <c r="K94" s="6" t="e">
        <f t="shared" si="3"/>
        <v>#N/A</v>
      </c>
      <c r="L94" s="6" t="e">
        <f t="shared" si="3"/>
        <v>#N/A</v>
      </c>
      <c r="M94" s="6" t="e">
        <f t="shared" si="3"/>
        <v>#N/A</v>
      </c>
      <c r="N94" s="6" t="e">
        <f t="shared" si="3"/>
        <v>#N/A</v>
      </c>
    </row>
    <row r="95" spans="1:18" x14ac:dyDescent="0.4">
      <c r="A95" s="5">
        <f>IF(AND(COUNTIF(CHOOSE(N($A$40&gt;=$A$80)+1,$B$80:$N$80,$B$40:$N$40),"&lt;="&amp;-60)&gt;0,COUNTIF(CHOOSE(N($A$40&gt;=$A$80)+1,$B$81:$N$81,$B$41:$N$41),"&gt;="&amp;-60)&gt;0),-60,NA())</f>
        <v>-60</v>
      </c>
      <c r="B95" s="6">
        <f t="shared" si="3"/>
        <v>136.80000000000001</v>
      </c>
      <c r="C95" s="6">
        <f t="shared" si="3"/>
        <v>171.8</v>
      </c>
      <c r="D95" s="6">
        <f t="shared" si="3"/>
        <v>203.4</v>
      </c>
      <c r="E95" s="6">
        <f t="shared" si="3"/>
        <v>231.3</v>
      </c>
      <c r="F95" s="6">
        <f t="shared" si="3"/>
        <v>275</v>
      </c>
      <c r="G95" s="6" t="e">
        <f t="shared" si="3"/>
        <v>#N/A</v>
      </c>
      <c r="H95" s="6" t="e">
        <f t="shared" si="3"/>
        <v>#N/A</v>
      </c>
      <c r="I95" s="6" t="e">
        <f t="shared" si="3"/>
        <v>#N/A</v>
      </c>
      <c r="J95" s="6" t="e">
        <f t="shared" si="3"/>
        <v>#N/A</v>
      </c>
      <c r="K95" s="6" t="e">
        <f t="shared" si="3"/>
        <v>#N/A</v>
      </c>
      <c r="L95" s="6" t="e">
        <f t="shared" si="3"/>
        <v>#N/A</v>
      </c>
      <c r="M95" s="6" t="e">
        <f t="shared" si="3"/>
        <v>#N/A</v>
      </c>
      <c r="N95" s="6" t="e">
        <f t="shared" si="3"/>
        <v>#N/A</v>
      </c>
    </row>
    <row r="96" spans="1:18" x14ac:dyDescent="0.4">
      <c r="A96" s="5">
        <f>IF(AND(COUNTIF(CHOOSE(N($A$40&gt;=$A$80)+1,$B$80:$N$80,$B$40:$N$40),"&lt;="&amp;-55)&gt;0,COUNTIF(CHOOSE(N($A$40&gt;=$A$80)+1,$B$81:$N$81,$B$41:$N$41),"&gt;="&amp;-55)&gt;0),-55,NA())</f>
        <v>-55</v>
      </c>
      <c r="B96" s="6">
        <f t="shared" si="3"/>
        <v>90.6</v>
      </c>
      <c r="C96" s="6">
        <f t="shared" si="3"/>
        <v>125.1</v>
      </c>
      <c r="D96" s="6">
        <f t="shared" si="3"/>
        <v>152.4</v>
      </c>
      <c r="E96" s="6">
        <f t="shared" si="3"/>
        <v>177.9</v>
      </c>
      <c r="F96" s="6">
        <f t="shared" si="3"/>
        <v>210</v>
      </c>
      <c r="G96" s="6" t="e">
        <f t="shared" si="3"/>
        <v>#N/A</v>
      </c>
      <c r="H96" s="6" t="e">
        <f t="shared" si="3"/>
        <v>#N/A</v>
      </c>
      <c r="I96" s="6" t="e">
        <f t="shared" si="3"/>
        <v>#N/A</v>
      </c>
      <c r="J96" s="6" t="e">
        <f t="shared" si="3"/>
        <v>#N/A</v>
      </c>
      <c r="K96" s="6" t="e">
        <f t="shared" si="3"/>
        <v>#N/A</v>
      </c>
      <c r="L96" s="6" t="e">
        <f t="shared" si="3"/>
        <v>#N/A</v>
      </c>
      <c r="M96" s="6" t="e">
        <f t="shared" si="3"/>
        <v>#N/A</v>
      </c>
      <c r="N96" s="6" t="e">
        <f t="shared" si="3"/>
        <v>#N/A</v>
      </c>
    </row>
    <row r="97" spans="1:14" x14ac:dyDescent="0.4">
      <c r="A97" s="5">
        <f>IF(AND(COUNTIF(CHOOSE(N($A$40&gt;=$A$80)+1,$B$80:$N$80,$B$40:$N$40),"&lt;="&amp;-50)&gt;0,COUNTIF(CHOOSE(N($A$40&gt;=$A$80)+1,$B$81:$N$81,$B$41:$N$41),"&gt;="&amp;-50)&gt;0),-50,NA())</f>
        <v>-50</v>
      </c>
      <c r="B97" s="6">
        <f t="shared" si="3"/>
        <v>54.6</v>
      </c>
      <c r="C97" s="6">
        <f t="shared" si="3"/>
        <v>77.3</v>
      </c>
      <c r="D97" s="6">
        <f t="shared" si="3"/>
        <v>106</v>
      </c>
      <c r="E97" s="6">
        <f t="shared" si="3"/>
        <v>127</v>
      </c>
      <c r="F97" s="6">
        <f t="shared" si="3"/>
        <v>159</v>
      </c>
      <c r="G97" s="6" t="e">
        <f t="shared" si="3"/>
        <v>#N/A</v>
      </c>
      <c r="H97" s="6" t="e">
        <f t="shared" si="3"/>
        <v>#N/A</v>
      </c>
      <c r="I97" s="6" t="e">
        <f t="shared" si="3"/>
        <v>#N/A</v>
      </c>
      <c r="J97" s="6" t="e">
        <f t="shared" si="3"/>
        <v>#N/A</v>
      </c>
      <c r="K97" s="6" t="e">
        <f t="shared" si="3"/>
        <v>#N/A</v>
      </c>
      <c r="L97" s="6" t="e">
        <f t="shared" si="3"/>
        <v>#N/A</v>
      </c>
      <c r="M97" s="6" t="e">
        <f t="shared" si="3"/>
        <v>#N/A</v>
      </c>
      <c r="N97" s="6" t="e">
        <f t="shared" si="3"/>
        <v>#N/A</v>
      </c>
    </row>
    <row r="98" spans="1:14" x14ac:dyDescent="0.4">
      <c r="A98" s="5">
        <f>IF(AND(COUNTIF(CHOOSE(N($A$40&gt;=$A$80)+1,$B$80:$N$80,$B$40:$N$40),"&lt;="&amp;-45)&gt;0,COUNTIF(CHOOSE(N($A$40&gt;=$A$80)+1,$B$81:$N$81,$B$41:$N$41),"&gt;="&amp;-45)&gt;0),-45,NA())</f>
        <v>-45</v>
      </c>
      <c r="B98" s="6">
        <f t="shared" si="3"/>
        <v>27.3</v>
      </c>
      <c r="C98" s="6">
        <f t="shared" si="3"/>
        <v>45.9</v>
      </c>
      <c r="D98" s="6">
        <f t="shared" si="3"/>
        <v>63.9</v>
      </c>
      <c r="E98" s="6">
        <f t="shared" si="3"/>
        <v>82.3</v>
      </c>
      <c r="F98" s="6">
        <f t="shared" si="3"/>
        <v>113</v>
      </c>
      <c r="G98" s="6" t="e">
        <f t="shared" si="3"/>
        <v>#N/A</v>
      </c>
      <c r="H98" s="6" t="e">
        <f t="shared" si="3"/>
        <v>#N/A</v>
      </c>
      <c r="I98" s="6" t="e">
        <f t="shared" si="3"/>
        <v>#N/A</v>
      </c>
      <c r="J98" s="6" t="e">
        <f t="shared" si="3"/>
        <v>#N/A</v>
      </c>
      <c r="K98" s="6" t="e">
        <f t="shared" si="3"/>
        <v>#N/A</v>
      </c>
      <c r="L98" s="6" t="e">
        <f t="shared" si="3"/>
        <v>#N/A</v>
      </c>
      <c r="M98" s="6" t="e">
        <f t="shared" si="3"/>
        <v>#N/A</v>
      </c>
      <c r="N98" s="6" t="e">
        <f t="shared" si="3"/>
        <v>#N/A</v>
      </c>
    </row>
    <row r="99" spans="1:14" x14ac:dyDescent="0.4">
      <c r="A99" s="5">
        <f>IF(AND(COUNTIF(CHOOSE(N($A$40&gt;=$A$80)+1,$B$80:$N$80,$B$40:$N$40),"&lt;="&amp;-40)&gt;0,COUNTIF(CHOOSE(N($A$40&gt;=$A$80)+1,$B$81:$N$81,$B$41:$N$41),"&gt;="&amp;-40)&gt;0),-40,NA())</f>
        <v>-40</v>
      </c>
      <c r="B99" s="6">
        <f t="shared" si="3"/>
        <v>12.54</v>
      </c>
      <c r="C99" s="6">
        <f t="shared" si="3"/>
        <v>22.65</v>
      </c>
      <c r="D99" s="6">
        <f t="shared" si="3"/>
        <v>37.450000000000003</v>
      </c>
      <c r="E99" s="6">
        <f t="shared" si="3"/>
        <v>47.1</v>
      </c>
      <c r="F99" s="6">
        <f t="shared" si="3"/>
        <v>70.599999999999994</v>
      </c>
      <c r="G99" s="6" t="e">
        <f t="shared" si="3"/>
        <v>#N/A</v>
      </c>
      <c r="H99" s="6" t="e">
        <f t="shared" si="3"/>
        <v>#N/A</v>
      </c>
      <c r="I99" s="6" t="e">
        <f t="shared" si="3"/>
        <v>#N/A</v>
      </c>
      <c r="J99" s="6" t="e">
        <f t="shared" si="3"/>
        <v>#N/A</v>
      </c>
      <c r="K99" s="6" t="e">
        <f t="shared" si="3"/>
        <v>#N/A</v>
      </c>
      <c r="L99" s="6" t="e">
        <f t="shared" si="3"/>
        <v>#N/A</v>
      </c>
      <c r="M99" s="6" t="e">
        <f t="shared" si="3"/>
        <v>#N/A</v>
      </c>
      <c r="N99" s="6" t="e">
        <f t="shared" si="3"/>
        <v>#N/A</v>
      </c>
    </row>
    <row r="100" spans="1:14" x14ac:dyDescent="0.4">
      <c r="A100" s="5">
        <f>IF(AND(COUNTIF(CHOOSE(N($A$40&gt;=$A$80)+1,$B$80:$N$80,$B$40:$N$40),"&lt;="&amp;-35)&gt;0,COUNTIF(CHOOSE(N($A$40&gt;=$A$80)+1,$B$81:$N$81,$B$41:$N$41),"&gt;="&amp;-35)&gt;0),-35,NA())</f>
        <v>-35</v>
      </c>
      <c r="B100" s="6">
        <f t="shared" si="3"/>
        <v>12.73</v>
      </c>
      <c r="C100" s="6">
        <f t="shared" si="3"/>
        <v>11.92</v>
      </c>
      <c r="D100" s="6">
        <f t="shared" si="3"/>
        <v>16.46</v>
      </c>
      <c r="E100" s="6">
        <f t="shared" si="3"/>
        <v>25.12</v>
      </c>
      <c r="F100" s="6">
        <f t="shared" si="3"/>
        <v>37.96</v>
      </c>
      <c r="G100" s="6" t="e">
        <f t="shared" si="3"/>
        <v>#N/A</v>
      </c>
      <c r="H100" s="6" t="e">
        <f t="shared" si="3"/>
        <v>#N/A</v>
      </c>
      <c r="I100" s="6" t="e">
        <f t="shared" si="3"/>
        <v>#N/A</v>
      </c>
      <c r="J100" s="6" t="e">
        <f t="shared" si="3"/>
        <v>#N/A</v>
      </c>
      <c r="K100" s="6" t="e">
        <f t="shared" si="3"/>
        <v>#N/A</v>
      </c>
      <c r="L100" s="6" t="e">
        <f t="shared" si="3"/>
        <v>#N/A</v>
      </c>
      <c r="M100" s="6" t="e">
        <f t="shared" si="3"/>
        <v>#N/A</v>
      </c>
      <c r="N100" s="6" t="e">
        <f t="shared" si="3"/>
        <v>#N/A</v>
      </c>
    </row>
    <row r="101" spans="1:14" x14ac:dyDescent="0.4">
      <c r="A101" s="5">
        <f>IF(AND(COUNTIF(CHOOSE(N($A$40&gt;=$A$80)+1,$B$80:$N$80,$B$40:$N$40),"&lt;="&amp;-30)&gt;0,COUNTIF(CHOOSE(N($A$40&gt;=$A$80)+1,$B$81:$N$81,$B$41:$N$41),"&gt;="&amp;-30)&gt;0),-30,NA())</f>
        <v>-30</v>
      </c>
      <c r="B101" s="6">
        <f t="shared" si="3"/>
        <v>26.5</v>
      </c>
      <c r="C101" s="6">
        <f t="shared" si="3"/>
        <v>11.01</v>
      </c>
      <c r="D101" s="6">
        <f t="shared" si="3"/>
        <v>9.33</v>
      </c>
      <c r="E101" s="6">
        <f t="shared" si="3"/>
        <v>11.55</v>
      </c>
      <c r="F101" s="6">
        <f t="shared" si="3"/>
        <v>18.93</v>
      </c>
      <c r="G101" s="6" t="e">
        <f t="shared" si="3"/>
        <v>#N/A</v>
      </c>
      <c r="H101" s="6" t="e">
        <f t="shared" si="3"/>
        <v>#N/A</v>
      </c>
      <c r="I101" s="6" t="e">
        <f t="shared" si="3"/>
        <v>#N/A</v>
      </c>
      <c r="J101" s="6" t="e">
        <f t="shared" si="3"/>
        <v>#N/A</v>
      </c>
      <c r="K101" s="6" t="e">
        <f t="shared" si="3"/>
        <v>#N/A</v>
      </c>
      <c r="L101" s="6" t="e">
        <f t="shared" si="3"/>
        <v>#N/A</v>
      </c>
      <c r="M101" s="6" t="e">
        <f t="shared" si="3"/>
        <v>#N/A</v>
      </c>
      <c r="N101" s="6" t="e">
        <f t="shared" si="3"/>
        <v>#N/A</v>
      </c>
    </row>
    <row r="102" spans="1:14" x14ac:dyDescent="0.4">
      <c r="A102" s="5">
        <f>IF(AND(COUNTIF(CHOOSE(N($A$40&gt;=$A$80)+1,$B$80:$N$80,$B$40:$N$40),"&lt;="&amp;-25)&gt;0,COUNTIF(CHOOSE(N($A$40&gt;=$A$80)+1,$B$81:$N$81,$B$41:$N$41),"&gt;="&amp;-25)&gt;0),-25,NA())</f>
        <v>-25</v>
      </c>
      <c r="B102" s="6">
        <f t="shared" si="3"/>
        <v>56.3</v>
      </c>
      <c r="C102" s="6">
        <f t="shared" si="3"/>
        <v>20.76</v>
      </c>
      <c r="D102" s="6">
        <f t="shared" si="3"/>
        <v>11.97</v>
      </c>
      <c r="E102" s="6">
        <f t="shared" si="3"/>
        <v>8.75</v>
      </c>
      <c r="F102" s="6">
        <f t="shared" si="3"/>
        <v>9.5</v>
      </c>
      <c r="G102" s="6" t="e">
        <f t="shared" si="3"/>
        <v>#N/A</v>
      </c>
      <c r="H102" s="6" t="e">
        <f t="shared" si="3"/>
        <v>#N/A</v>
      </c>
      <c r="I102" s="6" t="e">
        <f t="shared" si="3"/>
        <v>#N/A</v>
      </c>
      <c r="J102" s="6" t="e">
        <f t="shared" si="3"/>
        <v>#N/A</v>
      </c>
      <c r="K102" s="6" t="e">
        <f t="shared" si="3"/>
        <v>#N/A</v>
      </c>
      <c r="L102" s="6" t="e">
        <f t="shared" si="3"/>
        <v>#N/A</v>
      </c>
      <c r="M102" s="6" t="e">
        <f t="shared" si="3"/>
        <v>#N/A</v>
      </c>
      <c r="N102" s="6" t="e">
        <f t="shared" si="3"/>
        <v>#N/A</v>
      </c>
    </row>
    <row r="103" spans="1:14" x14ac:dyDescent="0.4">
      <c r="A103" s="5">
        <f>IF(AND(COUNTIF(CHOOSE(N($A$40&gt;=$A$80)+1,$B$80:$N$80,$B$40:$N$40),"&lt;="&amp;-20)&gt;0,COUNTIF(CHOOSE(N($A$40&gt;=$A$80)+1,$B$81:$N$81,$B$41:$N$41),"&gt;="&amp;-20)&gt;0),-20,NA())</f>
        <v>-20</v>
      </c>
      <c r="B103" s="6">
        <f t="shared" si="3"/>
        <v>92.9</v>
      </c>
      <c r="C103" s="6">
        <f t="shared" si="3"/>
        <v>40</v>
      </c>
      <c r="D103" s="6">
        <f t="shared" si="3"/>
        <v>24.85</v>
      </c>
      <c r="E103" s="6">
        <f t="shared" si="3"/>
        <v>17.57</v>
      </c>
      <c r="F103" s="6">
        <f t="shared" si="3"/>
        <v>12.05</v>
      </c>
      <c r="G103" s="6" t="e">
        <f t="shared" si="3"/>
        <v>#N/A</v>
      </c>
      <c r="H103" s="6" t="e">
        <f t="shared" si="3"/>
        <v>#N/A</v>
      </c>
      <c r="I103" s="6" t="e">
        <f t="shared" si="3"/>
        <v>#N/A</v>
      </c>
      <c r="J103" s="6" t="e">
        <f t="shared" si="3"/>
        <v>#N/A</v>
      </c>
      <c r="K103" s="6" t="e">
        <f t="shared" si="3"/>
        <v>#N/A</v>
      </c>
      <c r="L103" s="6" t="e">
        <f t="shared" si="3"/>
        <v>#N/A</v>
      </c>
      <c r="M103" s="6" t="e">
        <f t="shared" si="3"/>
        <v>#N/A</v>
      </c>
      <c r="N103" s="6" t="e">
        <f t="shared" si="3"/>
        <v>#N/A</v>
      </c>
    </row>
    <row r="104" spans="1:14" x14ac:dyDescent="0.4">
      <c r="A104" s="5">
        <f>IF(AND(COUNTIF(CHOOSE(N($A$40&gt;=$A$80)+1,$B$80:$N$80,$B$40:$N$40),"&lt;="&amp;-15)&gt;0,COUNTIF(CHOOSE(N($A$40&gt;=$A$80)+1,$B$81:$N$81,$B$41:$N$41),"&gt;="&amp;-15)&gt;0),-15,NA())</f>
        <v>-15</v>
      </c>
      <c r="B104" s="6">
        <f t="shared" si="3"/>
        <v>137.30000000000001</v>
      </c>
      <c r="C104" s="6">
        <f t="shared" si="3"/>
        <v>76.900000000000006</v>
      </c>
      <c r="D104" s="6">
        <f t="shared" si="3"/>
        <v>48.7</v>
      </c>
      <c r="E104" s="6">
        <f t="shared" si="3"/>
        <v>36.08</v>
      </c>
      <c r="F104" s="6">
        <f t="shared" si="3"/>
        <v>26.57</v>
      </c>
      <c r="G104" s="6" t="e">
        <f t="shared" si="3"/>
        <v>#N/A</v>
      </c>
      <c r="H104" s="6" t="e">
        <f t="shared" si="3"/>
        <v>#N/A</v>
      </c>
      <c r="I104" s="6" t="e">
        <f t="shared" si="3"/>
        <v>#N/A</v>
      </c>
      <c r="J104" s="6" t="e">
        <f t="shared" si="3"/>
        <v>#N/A</v>
      </c>
      <c r="K104" s="6" t="e">
        <f t="shared" si="3"/>
        <v>#N/A</v>
      </c>
      <c r="L104" s="6" t="e">
        <f t="shared" si="3"/>
        <v>#N/A</v>
      </c>
      <c r="M104" s="6" t="e">
        <f t="shared" si="3"/>
        <v>#N/A</v>
      </c>
      <c r="N104" s="6" t="e">
        <f t="shared" si="3"/>
        <v>#N/A</v>
      </c>
    </row>
    <row r="105" spans="1:14" x14ac:dyDescent="0.4">
      <c r="A105" s="5">
        <f>IF(AND(COUNTIF(CHOOSE(N($A$40&gt;=$A$80)+1,$B$80:$N$80,$B$40:$N$40),"&lt;="&amp;-10)&gt;0,COUNTIF(CHOOSE(N($A$40&gt;=$A$80)+1,$B$81:$N$81,$B$41:$N$41),"&gt;="&amp;-10)&gt;0),-10,NA())</f>
        <v>-10</v>
      </c>
      <c r="B105" s="6">
        <f t="shared" ref="B105:N120" si="4">IF(ISNA(B59),NA(),IF(AND($A105&gt;=CHOOSE(N($A$40&gt;=$A$80)+1,B$80,B$40),$A105&lt;=CHOOSE(N($A$40&gt;=$A$80)+1,B$81,B$41)),B59,NA()))</f>
        <v>196.9</v>
      </c>
      <c r="C105" s="6">
        <f t="shared" si="4"/>
        <v>115.8</v>
      </c>
      <c r="D105" s="6">
        <f t="shared" si="4"/>
        <v>81.8</v>
      </c>
      <c r="E105" s="6">
        <f t="shared" si="4"/>
        <v>65.599999999999994</v>
      </c>
      <c r="F105" s="6">
        <f t="shared" si="4"/>
        <v>49.5</v>
      </c>
      <c r="G105" s="6" t="e">
        <f t="shared" si="4"/>
        <v>#N/A</v>
      </c>
      <c r="H105" s="6" t="e">
        <f t="shared" si="4"/>
        <v>#N/A</v>
      </c>
      <c r="I105" s="6" t="e">
        <f t="shared" si="4"/>
        <v>#N/A</v>
      </c>
      <c r="J105" s="6" t="e">
        <f t="shared" si="4"/>
        <v>#N/A</v>
      </c>
      <c r="K105" s="6" t="e">
        <f t="shared" si="4"/>
        <v>#N/A</v>
      </c>
      <c r="L105" s="6" t="e">
        <f t="shared" si="4"/>
        <v>#N/A</v>
      </c>
      <c r="M105" s="6" t="e">
        <f t="shared" si="4"/>
        <v>#N/A</v>
      </c>
      <c r="N105" s="6" t="e">
        <f t="shared" si="4"/>
        <v>#N/A</v>
      </c>
    </row>
    <row r="106" spans="1:14" x14ac:dyDescent="0.4">
      <c r="A106" s="5">
        <f>IF(AND(COUNTIF(CHOOSE(N($A$40&gt;=$A$80)+1,$B$80:$N$80,$B$40:$N$40),"&lt;="&amp;-5)&gt;0,COUNTIF(CHOOSE(N($A$40&gt;=$A$80)+1,$B$81:$N$81,$B$41:$N$41),"&gt;="&amp;-5)&gt;0),-5,NA())</f>
        <v>-5</v>
      </c>
      <c r="B106" s="6">
        <f t="shared" si="4"/>
        <v>262.3</v>
      </c>
      <c r="C106" s="6">
        <f t="shared" si="4"/>
        <v>163.1</v>
      </c>
      <c r="D106" s="6">
        <f t="shared" si="4"/>
        <v>125.5</v>
      </c>
      <c r="E106" s="6">
        <f t="shared" si="4"/>
        <v>101.4</v>
      </c>
      <c r="F106" s="6">
        <f t="shared" si="4"/>
        <v>84.3</v>
      </c>
      <c r="G106" s="6" t="e">
        <f t="shared" si="4"/>
        <v>#N/A</v>
      </c>
      <c r="H106" s="6" t="e">
        <f t="shared" si="4"/>
        <v>#N/A</v>
      </c>
      <c r="I106" s="6" t="e">
        <f t="shared" si="4"/>
        <v>#N/A</v>
      </c>
      <c r="J106" s="6" t="e">
        <f t="shared" si="4"/>
        <v>#N/A</v>
      </c>
      <c r="K106" s="6" t="e">
        <f t="shared" si="4"/>
        <v>#N/A</v>
      </c>
      <c r="L106" s="6" t="e">
        <f t="shared" si="4"/>
        <v>#N/A</v>
      </c>
      <c r="M106" s="6" t="e">
        <f t="shared" si="4"/>
        <v>#N/A</v>
      </c>
      <c r="N106" s="6" t="e">
        <f t="shared" si="4"/>
        <v>#N/A</v>
      </c>
    </row>
    <row r="107" spans="1:14" x14ac:dyDescent="0.4">
      <c r="A107" s="5">
        <f>IF(AND(COUNTIF(CHOOSE(N($A$40&gt;=$A$80)+1,$B$80:$N$80,$B$40:$N$40),"&lt;="&amp;0)&gt;0,COUNTIF(CHOOSE(N($A$40&gt;=$A$80)+1,$B$81:$N$81,$B$41:$N$41),"&gt;="&amp;0)&gt;0),0,NA())</f>
        <v>0</v>
      </c>
      <c r="B107" s="6" t="e">
        <f t="shared" si="4"/>
        <v>#N/A</v>
      </c>
      <c r="C107" s="6">
        <f t="shared" si="4"/>
        <v>226.5</v>
      </c>
      <c r="D107" s="6">
        <f t="shared" si="4"/>
        <v>178.6</v>
      </c>
      <c r="E107" s="6">
        <f t="shared" si="4"/>
        <v>155.80000000000001</v>
      </c>
      <c r="F107" s="6">
        <f t="shared" si="4"/>
        <v>127.5</v>
      </c>
      <c r="G107" s="6" t="e">
        <f t="shared" si="4"/>
        <v>#N/A</v>
      </c>
      <c r="H107" s="6" t="e">
        <f t="shared" si="4"/>
        <v>#N/A</v>
      </c>
      <c r="I107" s="6" t="e">
        <f t="shared" si="4"/>
        <v>#N/A</v>
      </c>
      <c r="J107" s="6" t="e">
        <f t="shared" si="4"/>
        <v>#N/A</v>
      </c>
      <c r="K107" s="6" t="e">
        <f t="shared" si="4"/>
        <v>#N/A</v>
      </c>
      <c r="L107" s="6" t="e">
        <f t="shared" si="4"/>
        <v>#N/A</v>
      </c>
      <c r="M107" s="6" t="e">
        <f t="shared" si="4"/>
        <v>#N/A</v>
      </c>
      <c r="N107" s="6" t="e">
        <f t="shared" si="4"/>
        <v>#N/A</v>
      </c>
    </row>
    <row r="108" spans="1:14" x14ac:dyDescent="0.4">
      <c r="A108" s="5">
        <f>IF(AND(COUNTIF(CHOOSE(N($A$40&gt;=$A$80)+1,$B$80:$N$80,$B$40:$N$40),"&lt;="&amp;5)&gt;0,COUNTIF(CHOOSE(N($A$40&gt;=$A$80)+1,$B$81:$N$81,$B$41:$N$41),"&gt;="&amp;5)&gt;0),5,NA())</f>
        <v>5</v>
      </c>
      <c r="B108" s="6" t="e">
        <f t="shared" si="4"/>
        <v>#N/A</v>
      </c>
      <c r="C108" s="6" t="e">
        <f t="shared" si="4"/>
        <v>#N/A</v>
      </c>
      <c r="D108" s="6">
        <f t="shared" si="4"/>
        <v>235.9</v>
      </c>
      <c r="E108" s="6">
        <f t="shared" si="4"/>
        <v>200.2</v>
      </c>
      <c r="F108" s="6">
        <f t="shared" si="4"/>
        <v>177.8</v>
      </c>
      <c r="G108" s="6" t="e">
        <f t="shared" si="4"/>
        <v>#N/A</v>
      </c>
      <c r="H108" s="6" t="e">
        <f t="shared" si="4"/>
        <v>#N/A</v>
      </c>
      <c r="I108" s="6" t="e">
        <f t="shared" si="4"/>
        <v>#N/A</v>
      </c>
      <c r="J108" s="6" t="e">
        <f t="shared" si="4"/>
        <v>#N/A</v>
      </c>
      <c r="K108" s="6" t="e">
        <f t="shared" si="4"/>
        <v>#N/A</v>
      </c>
      <c r="L108" s="6" t="e">
        <f t="shared" si="4"/>
        <v>#N/A</v>
      </c>
      <c r="M108" s="6" t="e">
        <f t="shared" si="4"/>
        <v>#N/A</v>
      </c>
      <c r="N108" s="6" t="e">
        <f t="shared" si="4"/>
        <v>#N/A</v>
      </c>
    </row>
    <row r="109" spans="1:14" x14ac:dyDescent="0.4">
      <c r="A109" s="5">
        <f>IF(AND(COUNTIF(CHOOSE(N($A$40&gt;=$A$80)+1,$B$80:$N$80,$B$40:$N$40),"&lt;="&amp;10)&gt;0,COUNTIF(CHOOSE(N($A$40&gt;=$A$80)+1,$B$81:$N$81,$B$41:$N$41),"&gt;="&amp;10)&gt;0),10,NA())</f>
        <v>10</v>
      </c>
      <c r="B109" s="6" t="e">
        <f t="shared" si="4"/>
        <v>#N/A</v>
      </c>
      <c r="C109" s="6" t="e">
        <f t="shared" si="4"/>
        <v>#N/A</v>
      </c>
      <c r="D109" s="6">
        <f t="shared" si="4"/>
        <v>285.10000000000002</v>
      </c>
      <c r="E109" s="6">
        <f t="shared" si="4"/>
        <v>261.7</v>
      </c>
      <c r="F109" s="6">
        <f t="shared" si="4"/>
        <v>236.8</v>
      </c>
      <c r="G109" s="6" t="e">
        <f t="shared" si="4"/>
        <v>#N/A</v>
      </c>
      <c r="H109" s="6" t="e">
        <f t="shared" si="4"/>
        <v>#N/A</v>
      </c>
      <c r="I109" s="6" t="e">
        <f t="shared" si="4"/>
        <v>#N/A</v>
      </c>
      <c r="J109" s="6" t="e">
        <f t="shared" si="4"/>
        <v>#N/A</v>
      </c>
      <c r="K109" s="6" t="e">
        <f t="shared" si="4"/>
        <v>#N/A</v>
      </c>
      <c r="L109" s="6" t="e">
        <f t="shared" si="4"/>
        <v>#N/A</v>
      </c>
      <c r="M109" s="6" t="e">
        <f t="shared" si="4"/>
        <v>#N/A</v>
      </c>
      <c r="N109" s="6" t="e">
        <f t="shared" si="4"/>
        <v>#N/A</v>
      </c>
    </row>
    <row r="110" spans="1:14" x14ac:dyDescent="0.4">
      <c r="A110" s="5">
        <f>IF(AND(COUNTIF(CHOOSE(N($A$40&gt;=$A$80)+1,$B$80:$N$80,$B$40:$N$40),"&lt;="&amp;15)&gt;0,COUNTIF(CHOOSE(N($A$40&gt;=$A$80)+1,$B$81:$N$81,$B$41:$N$41),"&gt;="&amp;15)&gt;0),15,NA())</f>
        <v>15</v>
      </c>
      <c r="B110" s="6" t="e">
        <f t="shared" si="4"/>
        <v>#N/A</v>
      </c>
      <c r="C110" s="6" t="e">
        <f t="shared" si="4"/>
        <v>#N/A</v>
      </c>
      <c r="D110" s="6">
        <f t="shared" si="4"/>
        <v>349.1</v>
      </c>
      <c r="E110" s="6">
        <f t="shared" si="4"/>
        <v>317.89999999999998</v>
      </c>
      <c r="F110" s="6">
        <f t="shared" si="4"/>
        <v>304.7</v>
      </c>
      <c r="G110" s="6" t="e">
        <f t="shared" si="4"/>
        <v>#N/A</v>
      </c>
      <c r="H110" s="6" t="e">
        <f t="shared" si="4"/>
        <v>#N/A</v>
      </c>
      <c r="I110" s="6" t="e">
        <f t="shared" si="4"/>
        <v>#N/A</v>
      </c>
      <c r="J110" s="6" t="e">
        <f t="shared" si="4"/>
        <v>#N/A</v>
      </c>
      <c r="K110" s="6" t="e">
        <f t="shared" si="4"/>
        <v>#N/A</v>
      </c>
      <c r="L110" s="6" t="e">
        <f t="shared" si="4"/>
        <v>#N/A</v>
      </c>
      <c r="M110" s="6" t="e">
        <f t="shared" si="4"/>
        <v>#N/A</v>
      </c>
      <c r="N110" s="6" t="e">
        <f t="shared" si="4"/>
        <v>#N/A</v>
      </c>
    </row>
    <row r="111" spans="1:14" x14ac:dyDescent="0.4">
      <c r="A111" s="5">
        <f>IF(AND(COUNTIF(CHOOSE(N($A$40&gt;=$A$80)+1,$B$80:$N$80,$B$40:$N$40),"&lt;="&amp;20)&gt;0,COUNTIF(CHOOSE(N($A$40&gt;=$A$80)+1,$B$81:$N$81,$B$41:$N$41),"&gt;="&amp;20)&gt;0),20,NA())</f>
        <v>20</v>
      </c>
      <c r="B111" s="6" t="e">
        <f t="shared" si="4"/>
        <v>#N/A</v>
      </c>
      <c r="C111" s="6" t="e">
        <f t="shared" si="4"/>
        <v>#N/A</v>
      </c>
      <c r="D111" s="6" t="e">
        <f t="shared" si="4"/>
        <v>#N/A</v>
      </c>
      <c r="E111" s="6">
        <f t="shared" si="4"/>
        <v>379</v>
      </c>
      <c r="F111" s="6">
        <f t="shared" si="4"/>
        <v>367</v>
      </c>
      <c r="G111" s="6" t="e">
        <f t="shared" si="4"/>
        <v>#N/A</v>
      </c>
      <c r="H111" s="6" t="e">
        <f t="shared" si="4"/>
        <v>#N/A</v>
      </c>
      <c r="I111" s="6" t="e">
        <f t="shared" si="4"/>
        <v>#N/A</v>
      </c>
      <c r="J111" s="6" t="e">
        <f t="shared" si="4"/>
        <v>#N/A</v>
      </c>
      <c r="K111" s="6" t="e">
        <f t="shared" si="4"/>
        <v>#N/A</v>
      </c>
      <c r="L111" s="6" t="e">
        <f t="shared" si="4"/>
        <v>#N/A</v>
      </c>
      <c r="M111" s="6" t="e">
        <f t="shared" si="4"/>
        <v>#N/A</v>
      </c>
      <c r="N111" s="6" t="e">
        <f t="shared" si="4"/>
        <v>#N/A</v>
      </c>
    </row>
    <row r="112" spans="1:14" x14ac:dyDescent="0.4">
      <c r="A112" s="5">
        <f>IF(AND(COUNTIF(CHOOSE(N($A$40&gt;=$A$80)+1,$B$80:$N$80,$B$40:$N$40),"&lt;="&amp;25)&gt;0,COUNTIF(CHOOSE(N($A$40&gt;=$A$80)+1,$B$81:$N$81,$B$41:$N$41),"&gt;="&amp;25)&gt;0),25,NA())</f>
        <v>25</v>
      </c>
      <c r="B112" s="6" t="e">
        <f t="shared" si="4"/>
        <v>#N/A</v>
      </c>
      <c r="C112" s="6" t="e">
        <f t="shared" si="4"/>
        <v>#N/A</v>
      </c>
      <c r="D112" s="6" t="e">
        <f t="shared" si="4"/>
        <v>#N/A</v>
      </c>
      <c r="E112" s="6">
        <f t="shared" si="4"/>
        <v>442</v>
      </c>
      <c r="F112" s="6">
        <f t="shared" si="4"/>
        <v>438</v>
      </c>
      <c r="G112" s="6" t="e">
        <f t="shared" si="4"/>
        <v>#N/A</v>
      </c>
      <c r="H112" s="6" t="e">
        <f t="shared" si="4"/>
        <v>#N/A</v>
      </c>
      <c r="I112" s="6" t="e">
        <f t="shared" si="4"/>
        <v>#N/A</v>
      </c>
      <c r="J112" s="6" t="e">
        <f t="shared" si="4"/>
        <v>#N/A</v>
      </c>
      <c r="K112" s="6" t="e">
        <f t="shared" si="4"/>
        <v>#N/A</v>
      </c>
      <c r="L112" s="6" t="e">
        <f t="shared" si="4"/>
        <v>#N/A</v>
      </c>
      <c r="M112" s="6" t="e">
        <f t="shared" si="4"/>
        <v>#N/A</v>
      </c>
      <c r="N112" s="6" t="e">
        <f t="shared" si="4"/>
        <v>#N/A</v>
      </c>
    </row>
    <row r="113" spans="1:14" x14ac:dyDescent="0.4">
      <c r="A113" s="5">
        <f>IF(AND(COUNTIF(CHOOSE(N($A$40&gt;=$A$80)+1,$B$80:$N$80,$B$40:$N$40),"&lt;="&amp;30)&gt;0,COUNTIF(CHOOSE(N($A$40&gt;=$A$80)+1,$B$81:$N$81,$B$41:$N$41),"&gt;="&amp;30)&gt;0),30,NA())</f>
        <v>30</v>
      </c>
      <c r="B113" s="6" t="e">
        <f t="shared" si="4"/>
        <v>#N/A</v>
      </c>
      <c r="C113" s="6" t="e">
        <f t="shared" si="4"/>
        <v>#N/A</v>
      </c>
      <c r="D113" s="6" t="e">
        <f t="shared" si="4"/>
        <v>#N/A</v>
      </c>
      <c r="E113" s="6">
        <f t="shared" si="4"/>
        <v>501</v>
      </c>
      <c r="F113" s="6">
        <f t="shared" si="4"/>
        <v>505</v>
      </c>
      <c r="G113" s="6" t="e">
        <f t="shared" si="4"/>
        <v>#N/A</v>
      </c>
      <c r="H113" s="6" t="e">
        <f t="shared" si="4"/>
        <v>#N/A</v>
      </c>
      <c r="I113" s="6" t="e">
        <f t="shared" si="4"/>
        <v>#N/A</v>
      </c>
      <c r="J113" s="6" t="e">
        <f t="shared" si="4"/>
        <v>#N/A</v>
      </c>
      <c r="K113" s="6" t="e">
        <f t="shared" si="4"/>
        <v>#N/A</v>
      </c>
      <c r="L113" s="6" t="e">
        <f t="shared" si="4"/>
        <v>#N/A</v>
      </c>
      <c r="M113" s="6" t="e">
        <f t="shared" si="4"/>
        <v>#N/A</v>
      </c>
      <c r="N113" s="6" t="e">
        <f t="shared" si="4"/>
        <v>#N/A</v>
      </c>
    </row>
    <row r="114" spans="1:14" x14ac:dyDescent="0.4">
      <c r="A114" s="5" t="e">
        <f>IF(AND(COUNTIF(CHOOSE(N($A$40&gt;=$A$80)+1,$B$80:$N$80,$B$40:$N$40),"&lt;="&amp;35)&gt;0,COUNTIF(CHOOSE(N($A$40&gt;=$A$80)+1,$B$81:$N$81,$B$41:$N$41),"&gt;="&amp;35)&gt;0),35,NA())</f>
        <v>#N/A</v>
      </c>
      <c r="B114" s="6" t="e">
        <f t="shared" si="4"/>
        <v>#N/A</v>
      </c>
      <c r="C114" s="6" t="e">
        <f t="shared" si="4"/>
        <v>#N/A</v>
      </c>
      <c r="D114" s="6" t="e">
        <f t="shared" si="4"/>
        <v>#N/A</v>
      </c>
      <c r="E114" s="6" t="e">
        <f t="shared" si="4"/>
        <v>#N/A</v>
      </c>
      <c r="F114" s="6" t="e">
        <f t="shared" si="4"/>
        <v>#N/A</v>
      </c>
      <c r="G114" s="6" t="e">
        <f t="shared" si="4"/>
        <v>#N/A</v>
      </c>
      <c r="H114" s="6" t="e">
        <f t="shared" si="4"/>
        <v>#N/A</v>
      </c>
      <c r="I114" s="6" t="e">
        <f t="shared" si="4"/>
        <v>#N/A</v>
      </c>
      <c r="J114" s="6" t="e">
        <f t="shared" si="4"/>
        <v>#N/A</v>
      </c>
      <c r="K114" s="6" t="e">
        <f t="shared" si="4"/>
        <v>#N/A</v>
      </c>
      <c r="L114" s="6" t="e">
        <f t="shared" si="4"/>
        <v>#N/A</v>
      </c>
      <c r="M114" s="6" t="e">
        <f t="shared" si="4"/>
        <v>#N/A</v>
      </c>
      <c r="N114" s="6" t="e">
        <f t="shared" si="4"/>
        <v>#N/A</v>
      </c>
    </row>
    <row r="115" spans="1:14" x14ac:dyDescent="0.4">
      <c r="A115" s="5" t="e">
        <f>IF(AND(COUNTIF(CHOOSE(N($A$40&gt;=$A$80)+1,$B$80:$N$80,$B$40:$N$40),"&lt;="&amp;40)&gt;0,COUNTIF(CHOOSE(N($A$40&gt;=$A$80)+1,$B$81:$N$81,$B$41:$N$41),"&gt;="&amp;40)&gt;0),40,NA())</f>
        <v>#N/A</v>
      </c>
      <c r="B115" s="6" t="e">
        <f t="shared" si="4"/>
        <v>#N/A</v>
      </c>
      <c r="C115" s="6" t="e">
        <f t="shared" si="4"/>
        <v>#N/A</v>
      </c>
      <c r="D115" s="6" t="e">
        <f t="shared" si="4"/>
        <v>#N/A</v>
      </c>
      <c r="E115" s="6" t="e">
        <f t="shared" si="4"/>
        <v>#N/A</v>
      </c>
      <c r="F115" s="6" t="e">
        <f t="shared" si="4"/>
        <v>#N/A</v>
      </c>
      <c r="G115" s="6" t="e">
        <f t="shared" si="4"/>
        <v>#N/A</v>
      </c>
      <c r="H115" s="6" t="e">
        <f t="shared" si="4"/>
        <v>#N/A</v>
      </c>
      <c r="I115" s="6" t="e">
        <f t="shared" si="4"/>
        <v>#N/A</v>
      </c>
      <c r="J115" s="6" t="e">
        <f t="shared" si="4"/>
        <v>#N/A</v>
      </c>
      <c r="K115" s="6" t="e">
        <f t="shared" si="4"/>
        <v>#N/A</v>
      </c>
      <c r="L115" s="6" t="e">
        <f t="shared" si="4"/>
        <v>#N/A</v>
      </c>
      <c r="M115" s="6" t="e">
        <f t="shared" si="4"/>
        <v>#N/A</v>
      </c>
      <c r="N115" s="6" t="e">
        <f t="shared" si="4"/>
        <v>#N/A</v>
      </c>
    </row>
    <row r="116" spans="1:14" x14ac:dyDescent="0.4">
      <c r="A116" s="5" t="e">
        <f>IF(AND(COUNTIF(CHOOSE(N($A$40&gt;=$A$80)+1,$B$80:$N$80,$B$40:$N$40),"&lt;="&amp;45)&gt;0,COUNTIF(CHOOSE(N($A$40&gt;=$A$80)+1,$B$81:$N$81,$B$41:$N$41),"&gt;="&amp;45)&gt;0),45,NA())</f>
        <v>#N/A</v>
      </c>
      <c r="B116" s="6" t="e">
        <f t="shared" si="4"/>
        <v>#N/A</v>
      </c>
      <c r="C116" s="6" t="e">
        <f t="shared" si="4"/>
        <v>#N/A</v>
      </c>
      <c r="D116" s="6" t="e">
        <f t="shared" si="4"/>
        <v>#N/A</v>
      </c>
      <c r="E116" s="6" t="e">
        <f t="shared" si="4"/>
        <v>#N/A</v>
      </c>
      <c r="F116" s="6" t="e">
        <f t="shared" si="4"/>
        <v>#N/A</v>
      </c>
      <c r="G116" s="6" t="e">
        <f t="shared" si="4"/>
        <v>#N/A</v>
      </c>
      <c r="H116" s="6" t="e">
        <f t="shared" si="4"/>
        <v>#N/A</v>
      </c>
      <c r="I116" s="6" t="e">
        <f t="shared" si="4"/>
        <v>#N/A</v>
      </c>
      <c r="J116" s="6" t="e">
        <f t="shared" si="4"/>
        <v>#N/A</v>
      </c>
      <c r="K116" s="6" t="e">
        <f t="shared" si="4"/>
        <v>#N/A</v>
      </c>
      <c r="L116" s="6" t="e">
        <f t="shared" si="4"/>
        <v>#N/A</v>
      </c>
      <c r="M116" s="6" t="e">
        <f t="shared" si="4"/>
        <v>#N/A</v>
      </c>
      <c r="N116" s="6" t="e">
        <f t="shared" si="4"/>
        <v>#N/A</v>
      </c>
    </row>
    <row r="117" spans="1:14" x14ac:dyDescent="0.4">
      <c r="A117" s="5" t="e">
        <f>IF(AND(COUNTIF(CHOOSE(N($A$40&gt;=$A$80)+1,$B$80:$N$80,$B$40:$N$40),"&lt;="&amp;50)&gt;0,COUNTIF(CHOOSE(N($A$40&gt;=$A$80)+1,$B$81:$N$81,$B$41:$N$41),"&gt;="&amp;50)&gt;0),50,NA())</f>
        <v>#N/A</v>
      </c>
      <c r="B117" s="6" t="e">
        <f t="shared" si="4"/>
        <v>#N/A</v>
      </c>
      <c r="C117" s="6" t="e">
        <f t="shared" si="4"/>
        <v>#N/A</v>
      </c>
      <c r="D117" s="6" t="e">
        <f t="shared" si="4"/>
        <v>#N/A</v>
      </c>
      <c r="E117" s="6" t="e">
        <f t="shared" si="4"/>
        <v>#N/A</v>
      </c>
      <c r="F117" s="6" t="e">
        <f t="shared" si="4"/>
        <v>#N/A</v>
      </c>
      <c r="G117" s="6" t="e">
        <f t="shared" si="4"/>
        <v>#N/A</v>
      </c>
      <c r="H117" s="6" t="e">
        <f t="shared" si="4"/>
        <v>#N/A</v>
      </c>
      <c r="I117" s="6" t="e">
        <f t="shared" si="4"/>
        <v>#N/A</v>
      </c>
      <c r="J117" s="6" t="e">
        <f t="shared" si="4"/>
        <v>#N/A</v>
      </c>
      <c r="K117" s="6" t="e">
        <f t="shared" si="4"/>
        <v>#N/A</v>
      </c>
      <c r="L117" s="6" t="e">
        <f t="shared" si="4"/>
        <v>#N/A</v>
      </c>
      <c r="M117" s="6" t="e">
        <f t="shared" si="4"/>
        <v>#N/A</v>
      </c>
      <c r="N117" s="6" t="e">
        <f t="shared" si="4"/>
        <v>#N/A</v>
      </c>
    </row>
    <row r="118" spans="1:14" x14ac:dyDescent="0.4">
      <c r="A118" s="5" t="e">
        <f>IF(AND(COUNTIF(CHOOSE(N($A$40&gt;=$A$80)+1,$B$80:$N$80,$B$40:$N$40),"&lt;="&amp;55)&gt;0,COUNTIF(CHOOSE(N($A$40&gt;=$A$80)+1,$B$81:$N$81,$B$41:$N$41),"&gt;="&amp;55)&gt;0),55,NA())</f>
        <v>#N/A</v>
      </c>
      <c r="B118" s="6" t="e">
        <f t="shared" si="4"/>
        <v>#N/A</v>
      </c>
      <c r="C118" s="6" t="e">
        <f t="shared" si="4"/>
        <v>#N/A</v>
      </c>
      <c r="D118" s="6" t="e">
        <f t="shared" si="4"/>
        <v>#N/A</v>
      </c>
      <c r="E118" s="6" t="e">
        <f t="shared" si="4"/>
        <v>#N/A</v>
      </c>
      <c r="F118" s="6" t="e">
        <f t="shared" si="4"/>
        <v>#N/A</v>
      </c>
      <c r="G118" s="6" t="e">
        <f t="shared" si="4"/>
        <v>#N/A</v>
      </c>
      <c r="H118" s="6" t="e">
        <f t="shared" si="4"/>
        <v>#N/A</v>
      </c>
      <c r="I118" s="6" t="e">
        <f t="shared" si="4"/>
        <v>#N/A</v>
      </c>
      <c r="J118" s="6" t="e">
        <f t="shared" si="4"/>
        <v>#N/A</v>
      </c>
      <c r="K118" s="6" t="e">
        <f t="shared" si="4"/>
        <v>#N/A</v>
      </c>
      <c r="L118" s="6" t="e">
        <f t="shared" si="4"/>
        <v>#N/A</v>
      </c>
      <c r="M118" s="6" t="e">
        <f t="shared" si="4"/>
        <v>#N/A</v>
      </c>
      <c r="N118" s="6" t="e">
        <f t="shared" si="4"/>
        <v>#N/A</v>
      </c>
    </row>
    <row r="119" spans="1:14" x14ac:dyDescent="0.4">
      <c r="A119" s="5" t="e">
        <f>IF(AND(COUNTIF(CHOOSE(N($A$40&gt;=$A$80)+1,$B$80:$N$80,$B$40:$N$40),"&lt;="&amp;60)&gt;0,COUNTIF(CHOOSE(N($A$40&gt;=$A$80)+1,$B$81:$N$81,$B$41:$N$41),"&gt;="&amp;60)&gt;0),60,NA())</f>
        <v>#N/A</v>
      </c>
      <c r="B119" s="6" t="e">
        <f t="shared" si="4"/>
        <v>#N/A</v>
      </c>
      <c r="C119" s="6" t="e">
        <f t="shared" si="4"/>
        <v>#N/A</v>
      </c>
      <c r="D119" s="6" t="e">
        <f t="shared" si="4"/>
        <v>#N/A</v>
      </c>
      <c r="E119" s="6" t="e">
        <f t="shared" si="4"/>
        <v>#N/A</v>
      </c>
      <c r="F119" s="6" t="e">
        <f t="shared" si="4"/>
        <v>#N/A</v>
      </c>
      <c r="G119" s="6" t="e">
        <f t="shared" si="4"/>
        <v>#N/A</v>
      </c>
      <c r="H119" s="6" t="e">
        <f t="shared" si="4"/>
        <v>#N/A</v>
      </c>
      <c r="I119" s="6" t="e">
        <f t="shared" si="4"/>
        <v>#N/A</v>
      </c>
      <c r="J119" s="6" t="e">
        <f t="shared" si="4"/>
        <v>#N/A</v>
      </c>
      <c r="K119" s="6" t="e">
        <f t="shared" si="4"/>
        <v>#N/A</v>
      </c>
      <c r="L119" s="6" t="e">
        <f t="shared" si="4"/>
        <v>#N/A</v>
      </c>
      <c r="M119" s="6" t="e">
        <f t="shared" si="4"/>
        <v>#N/A</v>
      </c>
      <c r="N119" s="6" t="e">
        <f t="shared" si="4"/>
        <v>#N/A</v>
      </c>
    </row>
    <row r="120" spans="1:14" x14ac:dyDescent="0.4">
      <c r="A120" s="5" t="e">
        <f>IF(AND(COUNTIF(CHOOSE(N($A$40&gt;=$A$80)+1,$B$80:$N$80,$B$40:$N$40),"&lt;="&amp;65)&gt;0,COUNTIF(CHOOSE(N($A$40&gt;=$A$80)+1,$B$81:$N$81,$B$41:$N$41),"&gt;="&amp;65)&gt;0),65,NA())</f>
        <v>#N/A</v>
      </c>
      <c r="B120" s="6" t="e">
        <f t="shared" si="4"/>
        <v>#N/A</v>
      </c>
      <c r="C120" s="6" t="e">
        <f t="shared" si="4"/>
        <v>#N/A</v>
      </c>
      <c r="D120" s="6" t="e">
        <f t="shared" si="4"/>
        <v>#N/A</v>
      </c>
      <c r="E120" s="6" t="e">
        <f t="shared" si="4"/>
        <v>#N/A</v>
      </c>
      <c r="F120" s="6" t="e">
        <f t="shared" si="4"/>
        <v>#N/A</v>
      </c>
      <c r="G120" s="6" t="e">
        <f t="shared" si="4"/>
        <v>#N/A</v>
      </c>
      <c r="H120" s="6" t="e">
        <f t="shared" si="4"/>
        <v>#N/A</v>
      </c>
      <c r="I120" s="6" t="e">
        <f t="shared" si="4"/>
        <v>#N/A</v>
      </c>
      <c r="J120" s="6" t="e">
        <f t="shared" si="4"/>
        <v>#N/A</v>
      </c>
      <c r="K120" s="6" t="e">
        <f t="shared" si="4"/>
        <v>#N/A</v>
      </c>
      <c r="L120" s="6" t="e">
        <f t="shared" si="4"/>
        <v>#N/A</v>
      </c>
      <c r="M120" s="6" t="e">
        <f t="shared" si="4"/>
        <v>#N/A</v>
      </c>
      <c r="N120" s="6" t="e">
        <f t="shared" si="4"/>
        <v>#N/A</v>
      </c>
    </row>
    <row r="121" spans="1:14" x14ac:dyDescent="0.4">
      <c r="A121" s="5" t="e">
        <f>IF(AND(COUNTIF(CHOOSE(N($A$40&gt;=$A$80)+1,$B$80:$N$80,$B$40:$N$40),"&lt;="&amp;70)&gt;0,COUNTIF(CHOOSE(N($A$40&gt;=$A$80)+1,$B$81:$N$81,$B$41:$N$41),"&gt;="&amp;70)&gt;0),70,NA())</f>
        <v>#N/A</v>
      </c>
      <c r="B121" s="6" t="e">
        <f t="shared" ref="B121:N125" si="5">IF(ISNA(B75),NA(),IF(AND($A121&gt;=CHOOSE(N($A$40&gt;=$A$80)+1,B$80,B$40),$A121&lt;=CHOOSE(N($A$40&gt;=$A$80)+1,B$81,B$41)),B75,NA()))</f>
        <v>#N/A</v>
      </c>
      <c r="C121" s="6" t="e">
        <f t="shared" si="5"/>
        <v>#N/A</v>
      </c>
      <c r="D121" s="6" t="e">
        <f t="shared" si="5"/>
        <v>#N/A</v>
      </c>
      <c r="E121" s="6" t="e">
        <f t="shared" si="5"/>
        <v>#N/A</v>
      </c>
      <c r="F121" s="6" t="e">
        <f t="shared" si="5"/>
        <v>#N/A</v>
      </c>
      <c r="G121" s="6" t="e">
        <f t="shared" si="5"/>
        <v>#N/A</v>
      </c>
      <c r="H121" s="6" t="e">
        <f t="shared" si="5"/>
        <v>#N/A</v>
      </c>
      <c r="I121" s="6" t="e">
        <f t="shared" si="5"/>
        <v>#N/A</v>
      </c>
      <c r="J121" s="6" t="e">
        <f t="shared" si="5"/>
        <v>#N/A</v>
      </c>
      <c r="K121" s="6" t="e">
        <f t="shared" si="5"/>
        <v>#N/A</v>
      </c>
      <c r="L121" s="6" t="e">
        <f t="shared" si="5"/>
        <v>#N/A</v>
      </c>
      <c r="M121" s="6" t="e">
        <f t="shared" si="5"/>
        <v>#N/A</v>
      </c>
      <c r="N121" s="6" t="e">
        <f t="shared" si="5"/>
        <v>#N/A</v>
      </c>
    </row>
    <row r="122" spans="1:14" x14ac:dyDescent="0.4">
      <c r="A122" s="5" t="e">
        <f>IF(AND(COUNTIF(CHOOSE(N($A$40&gt;=$A$80)+1,$B$80:$N$80,$B$40:$N$40),"&lt;="&amp;75)&gt;0,COUNTIF(CHOOSE(N($A$40&gt;=$A$80)+1,$B$81:$N$81,$B$41:$N$41),"&gt;="&amp;75)&gt;0),75,NA())</f>
        <v>#N/A</v>
      </c>
      <c r="B122" s="6" t="e">
        <f t="shared" si="5"/>
        <v>#N/A</v>
      </c>
      <c r="C122" s="6" t="e">
        <f t="shared" si="5"/>
        <v>#N/A</v>
      </c>
      <c r="D122" s="6" t="e">
        <f t="shared" si="5"/>
        <v>#N/A</v>
      </c>
      <c r="E122" s="6" t="e">
        <f t="shared" si="5"/>
        <v>#N/A</v>
      </c>
      <c r="F122" s="6" t="e">
        <f t="shared" si="5"/>
        <v>#N/A</v>
      </c>
      <c r="G122" s="6" t="e">
        <f t="shared" si="5"/>
        <v>#N/A</v>
      </c>
      <c r="H122" s="6" t="e">
        <f t="shared" si="5"/>
        <v>#N/A</v>
      </c>
      <c r="I122" s="6" t="e">
        <f t="shared" si="5"/>
        <v>#N/A</v>
      </c>
      <c r="J122" s="6" t="e">
        <f t="shared" si="5"/>
        <v>#N/A</v>
      </c>
      <c r="K122" s="6" t="e">
        <f t="shared" si="5"/>
        <v>#N/A</v>
      </c>
      <c r="L122" s="6" t="e">
        <f t="shared" si="5"/>
        <v>#N/A</v>
      </c>
      <c r="M122" s="6" t="e">
        <f t="shared" si="5"/>
        <v>#N/A</v>
      </c>
      <c r="N122" s="6" t="e">
        <f t="shared" si="5"/>
        <v>#N/A</v>
      </c>
    </row>
    <row r="123" spans="1:14" x14ac:dyDescent="0.4">
      <c r="A123" s="5" t="e">
        <f>IF(AND(COUNTIF(CHOOSE(N($A$40&gt;=$A$80)+1,$B$80:$N$80,$B$40:$N$40),"&lt;="&amp;80)&gt;0,COUNTIF(CHOOSE(N($A$40&gt;=$A$80)+1,$B$81:$N$81,$B$41:$N$41),"&gt;="&amp;80)&gt;0),80,NA())</f>
        <v>#N/A</v>
      </c>
      <c r="B123" s="6" t="e">
        <f t="shared" si="5"/>
        <v>#N/A</v>
      </c>
      <c r="C123" s="6" t="e">
        <f t="shared" si="5"/>
        <v>#N/A</v>
      </c>
      <c r="D123" s="6" t="e">
        <f t="shared" si="5"/>
        <v>#N/A</v>
      </c>
      <c r="E123" s="6" t="e">
        <f t="shared" si="5"/>
        <v>#N/A</v>
      </c>
      <c r="F123" s="6" t="e">
        <f t="shared" si="5"/>
        <v>#N/A</v>
      </c>
      <c r="G123" s="6" t="e">
        <f t="shared" si="5"/>
        <v>#N/A</v>
      </c>
      <c r="H123" s="6" t="e">
        <f t="shared" si="5"/>
        <v>#N/A</v>
      </c>
      <c r="I123" s="6" t="e">
        <f t="shared" si="5"/>
        <v>#N/A</v>
      </c>
      <c r="J123" s="6" t="e">
        <f t="shared" si="5"/>
        <v>#N/A</v>
      </c>
      <c r="K123" s="6" t="e">
        <f t="shared" si="5"/>
        <v>#N/A</v>
      </c>
      <c r="L123" s="6" t="e">
        <f t="shared" si="5"/>
        <v>#N/A</v>
      </c>
      <c r="M123" s="6" t="e">
        <f t="shared" si="5"/>
        <v>#N/A</v>
      </c>
      <c r="N123" s="6" t="e">
        <f t="shared" si="5"/>
        <v>#N/A</v>
      </c>
    </row>
    <row r="124" spans="1:14" x14ac:dyDescent="0.4">
      <c r="A124" s="5" t="e">
        <f>IF(AND(COUNTIF(CHOOSE(N($A$40&gt;=$A$80)+1,$B$80:$N$80,$B$40:$N$40),"&lt;="&amp;85)&gt;0,COUNTIF(CHOOSE(N($A$40&gt;=$A$80)+1,$B$81:$N$81,$B$41:$N$41),"&gt;="&amp;85)&gt;0),85,NA())</f>
        <v>#N/A</v>
      </c>
      <c r="B124" s="6" t="e">
        <f t="shared" si="5"/>
        <v>#N/A</v>
      </c>
      <c r="C124" s="6" t="e">
        <f t="shared" si="5"/>
        <v>#N/A</v>
      </c>
      <c r="D124" s="6" t="e">
        <f t="shared" si="5"/>
        <v>#N/A</v>
      </c>
      <c r="E124" s="6" t="e">
        <f t="shared" si="5"/>
        <v>#N/A</v>
      </c>
      <c r="F124" s="6" t="e">
        <f t="shared" si="5"/>
        <v>#N/A</v>
      </c>
      <c r="G124" s="6" t="e">
        <f t="shared" si="5"/>
        <v>#N/A</v>
      </c>
      <c r="H124" s="6" t="e">
        <f t="shared" si="5"/>
        <v>#N/A</v>
      </c>
      <c r="I124" s="6" t="e">
        <f t="shared" si="5"/>
        <v>#N/A</v>
      </c>
      <c r="J124" s="6" t="e">
        <f t="shared" si="5"/>
        <v>#N/A</v>
      </c>
      <c r="K124" s="6" t="e">
        <f t="shared" si="5"/>
        <v>#N/A</v>
      </c>
      <c r="L124" s="6" t="e">
        <f t="shared" si="5"/>
        <v>#N/A</v>
      </c>
      <c r="M124" s="6" t="e">
        <f t="shared" si="5"/>
        <v>#N/A</v>
      </c>
      <c r="N124" s="6" t="e">
        <f t="shared" si="5"/>
        <v>#N/A</v>
      </c>
    </row>
    <row r="125" spans="1:14" x14ac:dyDescent="0.4">
      <c r="A125" s="5" t="e">
        <f>IF(AND(COUNTIF(CHOOSE(N($A$40&gt;=$A$80)+1,$B$80:$N$80,$B$40:$N$40),"&lt;="&amp;90)&gt;0,COUNTIF(CHOOSE(N($A$40&gt;=$A$80)+1,$B$81:$N$81,$B$41:$N$41),"&gt;="&amp;90)&gt;0),90,NA())</f>
        <v>#N/A</v>
      </c>
      <c r="B125" s="6" t="e">
        <f t="shared" si="5"/>
        <v>#N/A</v>
      </c>
      <c r="C125" s="6" t="e">
        <f t="shared" si="5"/>
        <v>#N/A</v>
      </c>
      <c r="D125" s="6" t="e">
        <f t="shared" si="5"/>
        <v>#N/A</v>
      </c>
      <c r="E125" s="6" t="e">
        <f t="shared" si="5"/>
        <v>#N/A</v>
      </c>
      <c r="F125" s="6" t="e">
        <f t="shared" si="5"/>
        <v>#N/A</v>
      </c>
      <c r="G125" s="6" t="e">
        <f t="shared" si="5"/>
        <v>#N/A</v>
      </c>
      <c r="H125" s="6" t="e">
        <f t="shared" si="5"/>
        <v>#N/A</v>
      </c>
      <c r="I125" s="6" t="e">
        <f t="shared" si="5"/>
        <v>#N/A</v>
      </c>
      <c r="J125" s="6" t="e">
        <f t="shared" si="5"/>
        <v>#N/A</v>
      </c>
      <c r="K125" s="6" t="e">
        <f t="shared" si="5"/>
        <v>#N/A</v>
      </c>
      <c r="L125" s="6" t="e">
        <f t="shared" si="5"/>
        <v>#N/A</v>
      </c>
      <c r="M125" s="6" t="e">
        <f t="shared" si="5"/>
        <v>#N/A</v>
      </c>
      <c r="N125" s="6" t="e">
        <f t="shared" si="5"/>
        <v>#N/A</v>
      </c>
    </row>
  </sheetData>
  <phoneticPr fontId="1"/>
  <conditionalFormatting sqref="A3:A39">
    <cfRule type="expression" dxfId="52" priority="5">
      <formula>A3&lt;&gt;5*(QUOTIENT(ROW(),2)-1)*(-1)^ROW()</formula>
    </cfRule>
  </conditionalFormatting>
  <conditionalFormatting sqref="A40">
    <cfRule type="expression" dxfId="51" priority="19" stopIfTrue="1">
      <formula>A40&gt;=A80</formula>
    </cfRule>
  </conditionalFormatting>
  <conditionalFormatting sqref="A43:A79">
    <cfRule type="expression" dxfId="50" priority="6">
      <formula>NOT(OR(AND($A$43=-90,A44-A43=5), AND($A$79=90,A43-A42=5)))</formula>
    </cfRule>
  </conditionalFormatting>
  <conditionalFormatting sqref="A80">
    <cfRule type="expression" dxfId="49" priority="18" stopIfTrue="1">
      <formula>A40&lt;A80</formula>
    </cfRule>
  </conditionalFormatting>
  <conditionalFormatting sqref="A89:A125">
    <cfRule type="expression" dxfId="48" priority="1">
      <formula>ROW(IF(AND(COUNTIF(CHOOSE(N($A$40&gt;=$A$80),$B$80:$N$80,$B$40:$N$40),"&lt;="&amp;(ROW()-107)*5)&gt;0,COUNTIF(CHOOSE(N($A$40&gt;=$A$80),$B$81:$N$81,$B$41:$N$41),"&gt;="&amp;(ROW()-107)*5)&gt;0),-90,ISNA(A89)))</formula>
    </cfRule>
    <cfRule type="expression" dxfId="47" priority="20" stopIfTrue="1">
      <formula>ISNA(A89)</formula>
    </cfRule>
  </conditionalFormatting>
  <conditionalFormatting sqref="B40:N40">
    <cfRule type="expression" dxfId="46" priority="9">
      <formula>NOT(AND(-90&lt;=B40,B40&lt;90))</formula>
    </cfRule>
  </conditionalFormatting>
  <conditionalFormatting sqref="B40:N41">
    <cfRule type="expression" dxfId="45" priority="8">
      <formula>$A$40&lt;$A$80</formula>
    </cfRule>
    <cfRule type="expression" dxfId="44" priority="11">
      <formula>AND(NOT(ISBLANK(B40)),B$40&gt;=B$41)</formula>
    </cfRule>
    <cfRule type="expression" dxfId="43" priority="12">
      <formula>$A$40&gt;=$A$80</formula>
    </cfRule>
  </conditionalFormatting>
  <conditionalFormatting sqref="B41:N41">
    <cfRule type="expression" dxfId="42" priority="10">
      <formula>NOT(AND(-90&lt;B41,B41&lt;=90))</formula>
    </cfRule>
  </conditionalFormatting>
  <conditionalFormatting sqref="B42:N42">
    <cfRule type="expression" dxfId="41" priority="24">
      <formula>ISNA(B42)</formula>
    </cfRule>
  </conditionalFormatting>
  <conditionalFormatting sqref="B43:N79">
    <cfRule type="expression" dxfId="40" priority="21">
      <formula>NOT(_xlfn.LET(_xlpm.v,INDEX(B$3:B$39,MATCH($A43,$A$3:$A$39,0)),IF(ISBLANK(_xlpm.v),ISNA(B43),B43=_xlpm.v)))</formula>
    </cfRule>
    <cfRule type="expression" dxfId="39" priority="22" stopIfTrue="1">
      <formula>ISNA(B43)</formula>
    </cfRule>
    <cfRule type="expression" dxfId="38" priority="23">
      <formula>AND(CHOOSE(N($A$40&gt;=$A$80)+1,B$80,B$40)&lt;=$A43,$A43&lt;=CHOOSE(N($A$40&gt;=$A$80)+1,B$81,B$41))</formula>
    </cfRule>
  </conditionalFormatting>
  <conditionalFormatting sqref="B80:N80">
    <cfRule type="expression" dxfId="37" priority="14">
      <formula>NOT(AND(-90&lt;=B80,B80&lt;90))</formula>
    </cfRule>
  </conditionalFormatting>
  <conditionalFormatting sqref="B80:N81">
    <cfRule type="expression" dxfId="36" priority="13" stopIfTrue="1">
      <formula>$A$40&gt;=$A$80</formula>
    </cfRule>
    <cfRule type="expression" dxfId="35" priority="16">
      <formula>AND(NOT(ISBLANK(B80)),B$80&gt;=B$81)</formula>
    </cfRule>
    <cfRule type="expression" dxfId="34" priority="17" stopIfTrue="1">
      <formula>$A$40&lt;$A$80</formula>
    </cfRule>
  </conditionalFormatting>
  <conditionalFormatting sqref="B81:N81">
    <cfRule type="expression" dxfId="33" priority="15">
      <formula>NOT(AND(-90&lt;B81,B81&lt;=90))</formula>
    </cfRule>
  </conditionalFormatting>
  <conditionalFormatting sqref="B82:N87">
    <cfRule type="expression" dxfId="32" priority="25">
      <formula>ISNA(B82)</formula>
    </cfRule>
  </conditionalFormatting>
  <conditionalFormatting sqref="B85:N85">
    <cfRule type="expression" dxfId="31" priority="4">
      <formula>NOT(IF(AND(ISBLANK(CHOOSE(N($A$40&gt;=$A$80)+1,B$80,B$40)),ISBLANK(CHOOSE(N($A$40&gt;=$A$80)+1,B$81,B$41))),ISNA(B85),B85=(-B83)/(2*B82)))</formula>
    </cfRule>
  </conditionalFormatting>
  <conditionalFormatting sqref="B86:N86">
    <cfRule type="expression" dxfId="30" priority="3">
      <formula>NOT(IF(AND(ISBLANK(CHOOSE(N($A$40&gt;=$A$80)+1,B$80,B$40)),ISBLANK(CHOOSE(N($A$40&gt;=$A$80)+1,B$81,B$41))),ISNA(B86),B86=B82*B85^2+B83*B85+B84))</formula>
    </cfRule>
  </conditionalFormatting>
  <conditionalFormatting sqref="B87:N87">
    <cfRule type="expression" dxfId="29" priority="2">
      <formula>NOT(IF(AND(ISBLANK(CHOOSE(N($A$40&gt;=$A$80)+1,B$80,B$40)),ISBLANK(CHOOSE(N($A$40&gt;=$A$80)+1,B$81,B$41))),ISNA(B87),B87=_xlfn.LET(_xlpm.a,INDIRECT("A"&amp;MATCH(B80,$A$43:$A$79,0)+ROW(B43)-1&amp;":A"&amp;MATCH(B81,$A$43:$A$79,0)+ROW(B43)-1),_xlpm.b,INDIRECT(ADDRESS(MATCH(B80,$A$43:$A$79,0)+ROW(B43)-1,COLUMN())&amp;":"&amp;ADDRESS(MATCH(B81,$A$43:$A$79,0)+ROW(B43)-1,COLUMN())),1-SUM((B82*_xlpm.a^2+B83*_xlpm.a+B84-_xlpm.b)^2)/SUM((_xlpm.b-AVERAGE(_xlpm.b))^2))))</formula>
    </cfRule>
  </conditionalFormatting>
  <conditionalFormatting sqref="B89:N125">
    <cfRule type="expression" dxfId="28" priority="7">
      <formula>NOT(IF(OR(ISNA($A89),ISNA(B43)),ISNA(B89),IF(AND($A89&gt;=CHOOSE(N($A$40&gt;=$A$80)+1,B$80,B$40),$A89&lt;=CHOOSE(N($A$40&gt;=$A$80)+1,B$81,B$41)),B89=B43,ISNA(B89))))</formula>
    </cfRule>
    <cfRule type="expression" dxfId="27" priority="26">
      <formula>ISNA(B89)</formula>
    </cfRule>
  </conditionalFormatting>
  <dataValidations count="1">
    <dataValidation allowBlank="1" showInputMessage="1" showErrorMessage="1" sqref="B89:N125" xr:uid="{18156AF7-A055-44E5-A1E2-37D83511D9C5}"/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0F32-7595-1B4D-873F-8A7722676E6D}">
  <dimension ref="A1:N125"/>
  <sheetViews>
    <sheetView topLeftCell="A67" zoomScale="70" zoomScaleNormal="70" workbookViewId="0">
      <selection activeCell="E87" sqref="E87"/>
    </sheetView>
  </sheetViews>
  <sheetFormatPr defaultRowHeight="18.75" x14ac:dyDescent="0.4"/>
  <cols>
    <col min="1" max="1" width="10" customWidth="1"/>
    <col min="2" max="2" width="10.25" customWidth="1"/>
    <col min="3" max="14" width="9.75" customWidth="1"/>
    <col min="15" max="15" width="12.125" bestFit="1" customWidth="1"/>
  </cols>
  <sheetData>
    <row r="1" spans="1:14" x14ac:dyDescent="0.4">
      <c r="A1" s="7">
        <v>45876</v>
      </c>
      <c r="B1" s="8">
        <v>0</v>
      </c>
      <c r="C1" s="8">
        <v>15</v>
      </c>
      <c r="D1" s="8">
        <v>30</v>
      </c>
      <c r="E1" s="8">
        <v>45</v>
      </c>
      <c r="F1" s="8">
        <v>60</v>
      </c>
      <c r="G1" s="8"/>
      <c r="H1" s="8"/>
      <c r="I1" s="8"/>
      <c r="J1" s="8"/>
      <c r="K1" s="8"/>
      <c r="L1" s="8"/>
      <c r="M1" s="8"/>
      <c r="N1" s="8"/>
    </row>
    <row r="2" spans="1:14" x14ac:dyDescent="0.4">
      <c r="A2" s="3">
        <v>125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4">
      <c r="A3" s="5">
        <v>0</v>
      </c>
      <c r="B3" s="6">
        <v>657</v>
      </c>
      <c r="C3" s="6">
        <v>486</v>
      </c>
      <c r="D3" s="6">
        <v>380</v>
      </c>
      <c r="E3" s="6">
        <v>321</v>
      </c>
      <c r="F3" s="6">
        <v>289</v>
      </c>
      <c r="G3" s="6"/>
      <c r="H3" s="6"/>
      <c r="I3" s="6"/>
      <c r="J3" s="6"/>
      <c r="K3" s="6"/>
      <c r="L3" s="6"/>
      <c r="M3" s="6"/>
      <c r="N3" s="6"/>
    </row>
    <row r="4" spans="1:14" x14ac:dyDescent="0.4">
      <c r="A4" s="5">
        <v>5</v>
      </c>
      <c r="B4" s="6">
        <v>754</v>
      </c>
      <c r="C4" s="6">
        <v>580</v>
      </c>
      <c r="D4" s="6">
        <v>467</v>
      </c>
      <c r="E4" s="6">
        <v>399</v>
      </c>
      <c r="F4" s="6">
        <v>358</v>
      </c>
      <c r="G4" s="6"/>
      <c r="H4" s="6"/>
      <c r="I4" s="6"/>
      <c r="J4" s="6"/>
      <c r="K4" s="6"/>
      <c r="L4" s="6"/>
      <c r="M4" s="6"/>
      <c r="N4" s="6"/>
    </row>
    <row r="5" spans="1:14" x14ac:dyDescent="0.4">
      <c r="A5" s="5">
        <v>-5</v>
      </c>
      <c r="B5" s="6">
        <v>557</v>
      </c>
      <c r="C5" s="6">
        <v>257</v>
      </c>
      <c r="D5" s="6">
        <v>307</v>
      </c>
      <c r="E5" s="6">
        <v>255</v>
      </c>
      <c r="F5" s="6">
        <v>229</v>
      </c>
      <c r="G5" s="6"/>
      <c r="H5" s="6"/>
      <c r="I5" s="6"/>
      <c r="J5" s="6"/>
      <c r="K5" s="6"/>
      <c r="L5" s="6"/>
      <c r="M5" s="6"/>
      <c r="N5" s="6"/>
    </row>
    <row r="6" spans="1:14" x14ac:dyDescent="0.4">
      <c r="A6" s="5">
        <v>10</v>
      </c>
      <c r="B6" s="6">
        <v>847</v>
      </c>
      <c r="C6" s="6">
        <v>676</v>
      </c>
      <c r="D6" s="6">
        <v>549</v>
      </c>
      <c r="E6" s="6">
        <v>482</v>
      </c>
      <c r="F6" s="6">
        <v>430</v>
      </c>
      <c r="G6" s="6"/>
      <c r="H6" s="6"/>
      <c r="I6" s="6"/>
      <c r="J6" s="6"/>
      <c r="K6" s="6"/>
      <c r="L6" s="6"/>
      <c r="M6" s="6"/>
      <c r="N6" s="6"/>
    </row>
    <row r="7" spans="1:14" x14ac:dyDescent="0.4">
      <c r="A7" s="5">
        <v>-10</v>
      </c>
      <c r="B7" s="6">
        <v>466</v>
      </c>
      <c r="C7" s="6">
        <v>323</v>
      </c>
      <c r="D7" s="6">
        <v>240</v>
      </c>
      <c r="E7" s="6">
        <v>198</v>
      </c>
      <c r="F7" s="6">
        <v>182</v>
      </c>
      <c r="G7" s="6"/>
      <c r="H7" s="6"/>
      <c r="I7" s="6"/>
      <c r="J7" s="6"/>
      <c r="K7" s="6"/>
      <c r="L7" s="6"/>
      <c r="M7" s="6"/>
      <c r="N7" s="6"/>
    </row>
    <row r="8" spans="1:14" x14ac:dyDescent="0.4">
      <c r="A8" s="5">
        <v>15</v>
      </c>
      <c r="B8" s="6">
        <v>943</v>
      </c>
      <c r="C8" s="6">
        <v>768</v>
      </c>
      <c r="D8" s="6">
        <v>639</v>
      </c>
      <c r="E8" s="6">
        <v>557</v>
      </c>
      <c r="F8" s="6">
        <v>516</v>
      </c>
      <c r="G8" s="6"/>
      <c r="H8" s="6"/>
      <c r="I8" s="6"/>
      <c r="J8" s="6"/>
      <c r="K8" s="6"/>
      <c r="L8" s="6"/>
      <c r="M8" s="6"/>
      <c r="N8" s="6"/>
    </row>
    <row r="9" spans="1:14" x14ac:dyDescent="0.4">
      <c r="A9" s="5">
        <v>-15</v>
      </c>
      <c r="B9" s="6">
        <v>368</v>
      </c>
      <c r="C9" s="6">
        <v>246</v>
      </c>
      <c r="D9" s="6">
        <v>186</v>
      </c>
      <c r="E9" s="6">
        <v>157</v>
      </c>
      <c r="F9" s="6">
        <v>140</v>
      </c>
      <c r="G9" s="6"/>
      <c r="H9" s="6"/>
      <c r="I9" s="6"/>
      <c r="J9" s="6"/>
      <c r="K9" s="6"/>
      <c r="L9" s="6"/>
      <c r="M9" s="6"/>
      <c r="N9" s="6"/>
    </row>
    <row r="10" spans="1:14" x14ac:dyDescent="0.4">
      <c r="A10" s="5">
        <v>20</v>
      </c>
      <c r="B10" s="6">
        <v>1028</v>
      </c>
      <c r="C10" s="6">
        <v>860</v>
      </c>
      <c r="D10" s="6">
        <v>724</v>
      </c>
      <c r="E10" s="6">
        <v>638</v>
      </c>
      <c r="F10" s="6">
        <v>593</v>
      </c>
      <c r="G10" s="6"/>
      <c r="H10" s="6"/>
      <c r="I10" s="6"/>
      <c r="J10" s="6"/>
      <c r="K10" s="6"/>
      <c r="L10" s="6"/>
      <c r="M10" s="6"/>
      <c r="N10" s="6"/>
    </row>
    <row r="11" spans="1:14" x14ac:dyDescent="0.4">
      <c r="A11" s="5">
        <v>-20</v>
      </c>
      <c r="B11" s="6">
        <v>294.7</v>
      </c>
      <c r="C11" s="6">
        <v>196</v>
      </c>
      <c r="D11" s="6">
        <v>147</v>
      </c>
      <c r="E11" s="6">
        <v>125</v>
      </c>
      <c r="F11" s="6">
        <v>115</v>
      </c>
      <c r="G11" s="6"/>
      <c r="H11" s="6"/>
      <c r="I11" s="6"/>
      <c r="J11" s="6"/>
      <c r="K11" s="6"/>
      <c r="L11" s="6"/>
      <c r="M11" s="6"/>
      <c r="N11" s="6"/>
    </row>
    <row r="12" spans="1:14" x14ac:dyDescent="0.4">
      <c r="A12" s="5">
        <v>25</v>
      </c>
      <c r="B12" s="6">
        <v>1100</v>
      </c>
      <c r="C12" s="6">
        <v>937</v>
      </c>
      <c r="D12" s="6">
        <v>811</v>
      </c>
      <c r="E12" s="6">
        <v>728</v>
      </c>
      <c r="F12" s="6">
        <v>681</v>
      </c>
      <c r="G12" s="6"/>
      <c r="H12" s="6"/>
      <c r="I12" s="6"/>
      <c r="J12" s="6"/>
      <c r="K12" s="6"/>
      <c r="L12" s="6"/>
      <c r="M12" s="6"/>
      <c r="N12" s="6"/>
    </row>
    <row r="13" spans="1:14" x14ac:dyDescent="0.4">
      <c r="A13" s="5">
        <v>-25</v>
      </c>
      <c r="B13" s="6">
        <v>227.4</v>
      </c>
      <c r="C13" s="6">
        <v>151</v>
      </c>
      <c r="D13" s="6">
        <v>122</v>
      </c>
      <c r="E13" s="6">
        <v>110</v>
      </c>
      <c r="F13" s="6">
        <v>105</v>
      </c>
      <c r="G13" s="6"/>
      <c r="H13" s="6"/>
      <c r="I13" s="6"/>
      <c r="J13" s="6"/>
      <c r="K13" s="6"/>
      <c r="L13" s="6"/>
      <c r="M13" s="6"/>
      <c r="N13" s="6"/>
    </row>
    <row r="14" spans="1:14" x14ac:dyDescent="0.4">
      <c r="A14" s="5">
        <v>30</v>
      </c>
      <c r="B14" s="6">
        <v>1169</v>
      </c>
      <c r="C14" s="6">
        <v>1014</v>
      </c>
      <c r="D14" s="6">
        <v>889</v>
      </c>
      <c r="E14" s="6">
        <v>807</v>
      </c>
      <c r="F14" s="6">
        <v>758</v>
      </c>
      <c r="G14" s="6"/>
      <c r="H14" s="6"/>
      <c r="I14" s="6"/>
      <c r="J14" s="6"/>
      <c r="K14" s="6"/>
      <c r="L14" s="6"/>
      <c r="M14" s="6"/>
      <c r="N14" s="6"/>
    </row>
    <row r="15" spans="1:14" x14ac:dyDescent="0.4">
      <c r="A15" s="5">
        <v>-30</v>
      </c>
      <c r="B15" s="6">
        <v>173.3</v>
      </c>
      <c r="C15" s="6">
        <v>128</v>
      </c>
      <c r="D15" s="6">
        <v>113</v>
      </c>
      <c r="E15" s="6">
        <v>109</v>
      </c>
      <c r="F15" s="6">
        <v>109</v>
      </c>
      <c r="G15" s="6"/>
      <c r="H15" s="6"/>
      <c r="I15" s="6"/>
      <c r="J15" s="6"/>
      <c r="K15" s="6"/>
      <c r="L15" s="6"/>
      <c r="M15" s="6"/>
      <c r="N15" s="6"/>
    </row>
    <row r="16" spans="1:14" x14ac:dyDescent="0.4">
      <c r="A16" s="5">
        <v>35</v>
      </c>
      <c r="B16" s="6">
        <v>1225</v>
      </c>
      <c r="C16" s="6">
        <v>1074</v>
      </c>
      <c r="D16" s="6">
        <v>956</v>
      </c>
      <c r="E16" s="6">
        <v>877</v>
      </c>
      <c r="F16" s="6">
        <v>835</v>
      </c>
      <c r="G16" s="6"/>
      <c r="H16" s="6"/>
      <c r="I16" s="6"/>
      <c r="J16" s="6"/>
      <c r="K16" s="6"/>
      <c r="L16" s="6"/>
      <c r="M16" s="6"/>
      <c r="N16" s="6"/>
    </row>
    <row r="17" spans="1:14" x14ac:dyDescent="0.4">
      <c r="A17" s="5">
        <v>-35</v>
      </c>
      <c r="B17" s="6">
        <v>145</v>
      </c>
      <c r="C17" s="6">
        <v>120</v>
      </c>
      <c r="D17" s="6">
        <v>120</v>
      </c>
      <c r="E17" s="6">
        <v>123</v>
      </c>
      <c r="F17" s="6">
        <v>127</v>
      </c>
      <c r="G17" s="6"/>
      <c r="H17" s="6"/>
      <c r="I17" s="6"/>
      <c r="J17" s="6"/>
      <c r="K17" s="6"/>
      <c r="L17" s="6"/>
      <c r="M17" s="6"/>
      <c r="N17" s="6"/>
    </row>
    <row r="18" spans="1:14" x14ac:dyDescent="0.4">
      <c r="A18" s="5">
        <v>40</v>
      </c>
      <c r="B18" s="6">
        <v>1261</v>
      </c>
      <c r="C18" s="6">
        <v>1124</v>
      </c>
      <c r="D18" s="6">
        <v>1013</v>
      </c>
      <c r="E18" s="6">
        <v>945</v>
      </c>
      <c r="F18" s="6">
        <v>900</v>
      </c>
      <c r="G18" s="6"/>
      <c r="H18" s="6"/>
      <c r="I18" s="6"/>
      <c r="J18" s="6"/>
      <c r="K18" s="6"/>
      <c r="L18" s="6"/>
      <c r="M18" s="6"/>
      <c r="N18" s="6"/>
    </row>
    <row r="19" spans="1:14" x14ac:dyDescent="0.4">
      <c r="A19" s="5">
        <v>-40</v>
      </c>
      <c r="B19" s="6">
        <v>131.30000000000001</v>
      </c>
      <c r="C19" s="6">
        <v>130</v>
      </c>
      <c r="D19" s="6">
        <v>143</v>
      </c>
      <c r="E19" s="6">
        <v>149</v>
      </c>
      <c r="F19" s="6">
        <v>156</v>
      </c>
      <c r="G19" s="6"/>
      <c r="H19" s="6"/>
      <c r="I19" s="6"/>
      <c r="J19" s="6"/>
      <c r="K19" s="6"/>
      <c r="L19" s="6"/>
      <c r="M19" s="6"/>
      <c r="N19" s="6"/>
    </row>
    <row r="20" spans="1:14" x14ac:dyDescent="0.4">
      <c r="A20" s="5">
        <v>45</v>
      </c>
      <c r="B20" s="6">
        <v>1279</v>
      </c>
      <c r="C20" s="6">
        <v>1163</v>
      </c>
      <c r="D20" s="6">
        <v>1063</v>
      </c>
      <c r="E20" s="6">
        <v>999</v>
      </c>
      <c r="F20" s="6">
        <v>950</v>
      </c>
      <c r="G20" s="6"/>
      <c r="H20" s="6"/>
      <c r="I20" s="6"/>
      <c r="J20" s="6"/>
      <c r="K20" s="6"/>
      <c r="L20" s="6"/>
      <c r="M20" s="6"/>
      <c r="N20" s="6"/>
    </row>
    <row r="21" spans="1:14" x14ac:dyDescent="0.4">
      <c r="A21" s="5">
        <v>-45</v>
      </c>
      <c r="B21" s="6">
        <v>136.4</v>
      </c>
      <c r="C21" s="6">
        <v>159</v>
      </c>
      <c r="D21" s="6">
        <v>181</v>
      </c>
      <c r="E21" s="6">
        <v>188</v>
      </c>
      <c r="F21" s="6">
        <v>207</v>
      </c>
      <c r="G21" s="6"/>
      <c r="H21" s="6"/>
      <c r="I21" s="6"/>
      <c r="J21" s="6"/>
      <c r="K21" s="6"/>
      <c r="L21" s="6"/>
      <c r="M21" s="6"/>
      <c r="N21" s="6"/>
    </row>
    <row r="22" spans="1:14" x14ac:dyDescent="0.4">
      <c r="A22" s="5">
        <v>50</v>
      </c>
      <c r="B22" s="6">
        <v>1286</v>
      </c>
      <c r="C22" s="6">
        <v>1187</v>
      </c>
      <c r="D22" s="6">
        <v>1096</v>
      </c>
      <c r="E22" s="6">
        <v>1030</v>
      </c>
      <c r="F22" s="6">
        <v>1004</v>
      </c>
      <c r="G22" s="6"/>
      <c r="H22" s="6"/>
      <c r="I22" s="6"/>
      <c r="J22" s="6"/>
      <c r="K22" s="6"/>
      <c r="L22" s="6"/>
      <c r="M22" s="6"/>
      <c r="N22" s="6"/>
    </row>
    <row r="23" spans="1:14" x14ac:dyDescent="0.4">
      <c r="A23" s="5">
        <v>-50</v>
      </c>
      <c r="B23" s="6">
        <v>160.80000000000001</v>
      </c>
      <c r="C23" s="6">
        <v>193</v>
      </c>
      <c r="D23" s="6">
        <v>224</v>
      </c>
      <c r="E23" s="6">
        <v>245</v>
      </c>
      <c r="F23" s="6">
        <v>264</v>
      </c>
      <c r="G23" s="6"/>
      <c r="H23" s="6"/>
      <c r="I23" s="6"/>
      <c r="J23" s="6"/>
      <c r="K23" s="6"/>
      <c r="L23" s="6"/>
      <c r="M23" s="6"/>
      <c r="N23" s="6"/>
    </row>
    <row r="24" spans="1:14" x14ac:dyDescent="0.4">
      <c r="A24" s="5">
        <v>55</v>
      </c>
      <c r="B24" s="6">
        <v>1273</v>
      </c>
      <c r="C24" s="6">
        <v>1197</v>
      </c>
      <c r="D24" s="6">
        <v>1115</v>
      </c>
      <c r="E24" s="6">
        <v>1059</v>
      </c>
      <c r="F24" s="6">
        <v>1035</v>
      </c>
      <c r="G24" s="6"/>
      <c r="H24" s="6"/>
      <c r="I24" s="6"/>
      <c r="J24" s="6"/>
      <c r="K24" s="6"/>
      <c r="L24" s="6"/>
      <c r="M24" s="6"/>
      <c r="N24" s="6"/>
    </row>
    <row r="25" spans="1:14" x14ac:dyDescent="0.4">
      <c r="A25" s="5">
        <v>-55</v>
      </c>
      <c r="B25" s="6">
        <v>199</v>
      </c>
      <c r="C25" s="6">
        <v>250</v>
      </c>
      <c r="D25" s="6">
        <v>289</v>
      </c>
      <c r="E25" s="6">
        <v>314</v>
      </c>
      <c r="F25" s="6">
        <v>322</v>
      </c>
      <c r="G25" s="6"/>
      <c r="H25" s="6"/>
      <c r="I25" s="6"/>
      <c r="J25" s="6"/>
      <c r="K25" s="6"/>
      <c r="L25" s="6"/>
      <c r="M25" s="6"/>
      <c r="N25" s="6"/>
    </row>
    <row r="26" spans="1:14" x14ac:dyDescent="0.4">
      <c r="A26" s="5">
        <v>60</v>
      </c>
      <c r="B26" s="6">
        <v>1252</v>
      </c>
      <c r="C26" s="6">
        <v>1193</v>
      </c>
      <c r="D26" s="6">
        <v>1126</v>
      </c>
      <c r="E26" s="6">
        <v>1076</v>
      </c>
      <c r="F26" s="6">
        <v>1055</v>
      </c>
      <c r="G26" s="6"/>
      <c r="H26" s="6"/>
      <c r="I26" s="6"/>
      <c r="J26" s="6"/>
      <c r="K26" s="6"/>
      <c r="L26" s="6"/>
      <c r="M26" s="6"/>
      <c r="N26" s="6"/>
    </row>
    <row r="27" spans="1:14" x14ac:dyDescent="0.4">
      <c r="A27" s="5">
        <v>-60</v>
      </c>
      <c r="B27" s="6">
        <v>250</v>
      </c>
      <c r="C27" s="6">
        <v>313</v>
      </c>
      <c r="D27" s="6">
        <v>363</v>
      </c>
      <c r="E27" s="6">
        <v>372</v>
      </c>
      <c r="F27" s="6">
        <v>395</v>
      </c>
      <c r="G27" s="6"/>
      <c r="H27" s="6"/>
      <c r="I27" s="6"/>
      <c r="J27" s="6"/>
      <c r="K27" s="6"/>
      <c r="L27" s="6"/>
      <c r="M27" s="6"/>
      <c r="N27" s="6"/>
    </row>
    <row r="28" spans="1:14" x14ac:dyDescent="0.4">
      <c r="A28" s="5">
        <v>65</v>
      </c>
      <c r="B28" s="6">
        <v>1209</v>
      </c>
      <c r="C28" s="6">
        <v>1169</v>
      </c>
      <c r="D28" s="6">
        <v>1123</v>
      </c>
      <c r="E28" s="6">
        <v>1077</v>
      </c>
      <c r="F28" s="6">
        <v>1061</v>
      </c>
      <c r="G28" s="6"/>
      <c r="H28" s="6"/>
      <c r="I28" s="6"/>
      <c r="J28" s="6"/>
      <c r="K28" s="6"/>
      <c r="L28" s="6"/>
      <c r="M28" s="6"/>
      <c r="N28" s="6"/>
    </row>
    <row r="29" spans="1:14" x14ac:dyDescent="0.4">
      <c r="A29" s="5">
        <v>-65</v>
      </c>
      <c r="B29" s="6">
        <v>354</v>
      </c>
      <c r="C29" s="6">
        <v>389</v>
      </c>
      <c r="D29" s="6">
        <v>436</v>
      </c>
      <c r="E29" s="6">
        <v>453</v>
      </c>
      <c r="F29" s="6">
        <v>471</v>
      </c>
      <c r="G29" s="6"/>
      <c r="H29" s="6"/>
      <c r="I29" s="6"/>
      <c r="J29" s="6"/>
      <c r="K29" s="6"/>
      <c r="L29" s="6"/>
      <c r="M29" s="6"/>
      <c r="N29" s="6"/>
    </row>
    <row r="30" spans="1:14" x14ac:dyDescent="0.4">
      <c r="A30" s="5">
        <v>70</v>
      </c>
      <c r="B30" s="6">
        <v>1152</v>
      </c>
      <c r="C30" s="6">
        <v>1135</v>
      </c>
      <c r="D30" s="6">
        <v>1101</v>
      </c>
      <c r="E30" s="6">
        <v>1063</v>
      </c>
      <c r="F30" s="6">
        <v>1055</v>
      </c>
      <c r="G30" s="6"/>
      <c r="H30" s="6"/>
      <c r="I30" s="6"/>
      <c r="J30" s="6"/>
      <c r="K30" s="6"/>
      <c r="L30" s="6"/>
      <c r="M30" s="6"/>
      <c r="N30" s="6"/>
    </row>
    <row r="31" spans="1:14" x14ac:dyDescent="0.4">
      <c r="A31" s="5">
        <v>-70</v>
      </c>
      <c r="B31" s="6">
        <v>436</v>
      </c>
      <c r="C31" s="6">
        <v>474</v>
      </c>
      <c r="D31" s="6">
        <v>518</v>
      </c>
      <c r="E31" s="6">
        <v>539</v>
      </c>
      <c r="F31" s="6">
        <v>558</v>
      </c>
      <c r="G31" s="6"/>
      <c r="H31" s="6"/>
      <c r="I31" s="6"/>
      <c r="J31" s="6"/>
      <c r="K31" s="6"/>
      <c r="L31" s="6"/>
      <c r="M31" s="6"/>
      <c r="N31" s="6"/>
    </row>
    <row r="32" spans="1:14" x14ac:dyDescent="0.4">
      <c r="A32" s="5">
        <v>75</v>
      </c>
      <c r="B32" s="6">
        <v>1089</v>
      </c>
      <c r="C32" s="6">
        <v>1090</v>
      </c>
      <c r="D32" s="6">
        <v>1065</v>
      </c>
      <c r="E32" s="6">
        <v>1038</v>
      </c>
      <c r="F32" s="6">
        <v>1034</v>
      </c>
      <c r="G32" s="6"/>
      <c r="H32" s="6"/>
      <c r="I32" s="6"/>
      <c r="J32" s="6"/>
      <c r="K32" s="6"/>
      <c r="L32" s="6"/>
      <c r="M32" s="6"/>
      <c r="N32" s="6"/>
    </row>
    <row r="33" spans="1:14" x14ac:dyDescent="0.4">
      <c r="A33" s="5">
        <v>-75</v>
      </c>
      <c r="B33" s="6">
        <v>533</v>
      </c>
      <c r="C33" s="6">
        <v>578</v>
      </c>
      <c r="D33" s="6">
        <v>618</v>
      </c>
      <c r="E33" s="6">
        <v>644</v>
      </c>
      <c r="F33" s="6">
        <v>652</v>
      </c>
      <c r="G33" s="6"/>
      <c r="H33" s="6"/>
      <c r="I33" s="6"/>
      <c r="J33" s="6"/>
      <c r="K33" s="6"/>
      <c r="L33" s="6"/>
      <c r="M33" s="6"/>
      <c r="N33" s="6"/>
    </row>
    <row r="34" spans="1:14" x14ac:dyDescent="0.4">
      <c r="A34" s="5">
        <v>80</v>
      </c>
      <c r="B34" s="6">
        <v>1027</v>
      </c>
      <c r="C34" s="6">
        <v>1030</v>
      </c>
      <c r="D34" s="6">
        <v>1021</v>
      </c>
      <c r="E34" s="6">
        <v>998</v>
      </c>
      <c r="F34" s="6">
        <v>1000</v>
      </c>
      <c r="G34" s="6"/>
      <c r="H34" s="6"/>
      <c r="I34" s="6"/>
      <c r="J34" s="6"/>
      <c r="K34" s="6"/>
      <c r="L34" s="6"/>
      <c r="M34" s="6"/>
      <c r="N34" s="6"/>
    </row>
    <row r="35" spans="1:14" x14ac:dyDescent="0.4">
      <c r="A35" s="5">
        <v>-80</v>
      </c>
      <c r="B35" s="6">
        <v>637</v>
      </c>
      <c r="C35" s="6">
        <v>671</v>
      </c>
      <c r="D35" s="6">
        <v>711</v>
      </c>
      <c r="E35" s="6">
        <v>718</v>
      </c>
      <c r="F35" s="6">
        <v>739</v>
      </c>
      <c r="G35" s="6"/>
      <c r="H35" s="6"/>
      <c r="I35" s="6"/>
      <c r="J35" s="6"/>
      <c r="K35" s="6"/>
      <c r="L35" s="6"/>
      <c r="M35" s="6"/>
      <c r="N35" s="6"/>
    </row>
    <row r="36" spans="1:14" x14ac:dyDescent="0.4">
      <c r="A36" s="5">
        <v>85</v>
      </c>
      <c r="B36" s="6">
        <v>948</v>
      </c>
      <c r="C36" s="6">
        <v>962</v>
      </c>
      <c r="D36" s="6">
        <v>965</v>
      </c>
      <c r="E36" s="6">
        <v>949</v>
      </c>
      <c r="F36" s="6">
        <v>955</v>
      </c>
      <c r="G36" s="6"/>
      <c r="H36" s="6"/>
      <c r="I36" s="6"/>
      <c r="J36" s="6"/>
      <c r="K36" s="6"/>
      <c r="L36" s="6"/>
      <c r="M36" s="6"/>
      <c r="N36" s="6"/>
    </row>
    <row r="37" spans="1:14" x14ac:dyDescent="0.4">
      <c r="A37" s="5">
        <v>-85</v>
      </c>
      <c r="B37" s="6">
        <v>731</v>
      </c>
      <c r="C37" s="6">
        <v>769</v>
      </c>
      <c r="D37" s="6">
        <v>790</v>
      </c>
      <c r="E37" s="6">
        <v>800</v>
      </c>
      <c r="F37" s="6">
        <v>812</v>
      </c>
      <c r="G37" s="6"/>
      <c r="H37" s="6"/>
      <c r="I37" s="6"/>
      <c r="J37" s="6"/>
      <c r="K37" s="6"/>
      <c r="L37" s="6"/>
      <c r="M37" s="6"/>
      <c r="N37" s="6"/>
    </row>
    <row r="38" spans="1:14" x14ac:dyDescent="0.4">
      <c r="A38" s="5">
        <v>90</v>
      </c>
      <c r="B38" s="6">
        <v>842</v>
      </c>
      <c r="C38" s="6">
        <v>874</v>
      </c>
      <c r="D38" s="6">
        <v>888</v>
      </c>
      <c r="E38" s="6">
        <v>883</v>
      </c>
      <c r="F38" s="6">
        <v>890</v>
      </c>
      <c r="G38" s="6"/>
      <c r="H38" s="6"/>
      <c r="I38" s="6"/>
      <c r="J38" s="6"/>
      <c r="K38" s="6"/>
      <c r="L38" s="6"/>
      <c r="M38" s="6"/>
      <c r="N38" s="6"/>
    </row>
    <row r="39" spans="1:14" x14ac:dyDescent="0.4">
      <c r="A39" s="5">
        <v>-90</v>
      </c>
      <c r="B39" s="6">
        <v>832</v>
      </c>
      <c r="C39" s="6">
        <v>857</v>
      </c>
      <c r="D39" s="6">
        <v>875</v>
      </c>
      <c r="E39" s="6">
        <v>870</v>
      </c>
      <c r="F39" s="6">
        <v>880</v>
      </c>
      <c r="G39" s="6"/>
      <c r="H39" s="6"/>
      <c r="I39" s="6"/>
      <c r="J39" s="6"/>
      <c r="K39" s="6"/>
      <c r="L39" s="6"/>
      <c r="M39" s="6"/>
      <c r="N39" s="6"/>
    </row>
    <row r="40" spans="1:14" x14ac:dyDescent="0.4">
      <c r="A40">
        <v>1</v>
      </c>
      <c r="B40">
        <v>-75</v>
      </c>
      <c r="C40">
        <v>-85</v>
      </c>
      <c r="D40">
        <v>-80</v>
      </c>
      <c r="E40">
        <v>-85</v>
      </c>
      <c r="F40">
        <v>-85</v>
      </c>
    </row>
    <row r="41" spans="1:14" ht="19.5" thickBot="1" x14ac:dyDescent="0.45">
      <c r="A41" s="9"/>
      <c r="B41" s="9">
        <v>5</v>
      </c>
      <c r="C41" s="9">
        <v>10</v>
      </c>
      <c r="D41" s="9">
        <v>5</v>
      </c>
      <c r="E41" s="9">
        <v>5</v>
      </c>
      <c r="F41" s="9">
        <v>5</v>
      </c>
      <c r="G41" s="9"/>
      <c r="H41" s="9"/>
      <c r="I41" s="9"/>
      <c r="J41" s="9"/>
      <c r="K41" s="9"/>
      <c r="L41" s="9"/>
      <c r="M41" s="9"/>
      <c r="N41" s="9"/>
    </row>
    <row r="42" spans="1:14" x14ac:dyDescent="0.4">
      <c r="B42" s="8">
        <f t="shared" ref="B42:N42" si="0">IF(ISBLANK(B1),NA(),B1)</f>
        <v>0</v>
      </c>
      <c r="C42" s="8">
        <f t="shared" si="0"/>
        <v>15</v>
      </c>
      <c r="D42" s="8">
        <f t="shared" si="0"/>
        <v>30</v>
      </c>
      <c r="E42" s="8">
        <f t="shared" si="0"/>
        <v>45</v>
      </c>
      <c r="F42" s="8">
        <f t="shared" si="0"/>
        <v>60</v>
      </c>
      <c r="G42" s="8" t="e">
        <f t="shared" si="0"/>
        <v>#N/A</v>
      </c>
      <c r="H42" s="8" t="e">
        <f t="shared" si="0"/>
        <v>#N/A</v>
      </c>
      <c r="I42" s="8" t="e">
        <f t="shared" si="0"/>
        <v>#N/A</v>
      </c>
      <c r="J42" s="8" t="e">
        <f t="shared" si="0"/>
        <v>#N/A</v>
      </c>
      <c r="K42" s="8" t="e">
        <f t="shared" si="0"/>
        <v>#N/A</v>
      </c>
      <c r="L42" s="8" t="e">
        <f t="shared" si="0"/>
        <v>#N/A</v>
      </c>
      <c r="M42" s="8" t="e">
        <f t="shared" si="0"/>
        <v>#N/A</v>
      </c>
      <c r="N42" s="8" t="e">
        <f t="shared" si="0"/>
        <v>#N/A</v>
      </c>
    </row>
    <row r="43" spans="1:14" x14ac:dyDescent="0.4">
      <c r="A43" s="5">
        <v>-90</v>
      </c>
      <c r="B43" s="6" cm="1">
        <f t="array" ref="B43">_xlfn.LET(_xlpm.v,INDEX(B$3:B$39,MATCH($A43,$A$3:$A$39,0)),IF(ISBLANK(_xlpm.v),NA(),_xlpm.v))</f>
        <v>832</v>
      </c>
      <c r="C43" s="6" cm="1">
        <f t="array" ref="C43">_xlfn.LET(_xlpm.v,INDEX(C$3:C$39,MATCH($A43,$A$3:$A$39,0)),IF(ISBLANK(_xlpm.v),NA(),_xlpm.v))</f>
        <v>857</v>
      </c>
      <c r="D43" s="6" cm="1">
        <f t="array" ref="D43">_xlfn.LET(_xlpm.v,INDEX(D$3:D$39,MATCH($A43,$A$3:$A$39,0)),IF(ISBLANK(_xlpm.v),NA(),_xlpm.v))</f>
        <v>875</v>
      </c>
      <c r="E43" s="6" cm="1">
        <f t="array" ref="E43">_xlfn.LET(_xlpm.v,INDEX(E$3:E$39,MATCH($A43,$A$3:$A$39,0)),IF(ISBLANK(_xlpm.v),NA(),_xlpm.v))</f>
        <v>870</v>
      </c>
      <c r="F43" s="6" cm="1">
        <f t="array" ref="F43">_xlfn.LET(_xlpm.v,INDEX(F$3:F$39,MATCH($A43,$A$3:$A$39,0)),IF(ISBLANK(_xlpm.v),NA(),_xlpm.v))</f>
        <v>880</v>
      </c>
      <c r="G43" s="6" t="e" cm="1">
        <f t="array" ref="G43">_xlfn.LET(_xlpm.v,INDEX(G$3:G$39,MATCH($A43,$A$3:$A$39,0)),IF(ISBLANK(_xlpm.v),NA(),_xlpm.v))</f>
        <v>#N/A</v>
      </c>
      <c r="H43" s="6" t="e" cm="1">
        <f t="array" ref="H43">_xlfn.LET(_xlpm.v,INDEX(H$3:H$39,MATCH($A43,$A$3:$A$39,0)),IF(ISBLANK(_xlpm.v),NA(),_xlpm.v))</f>
        <v>#N/A</v>
      </c>
      <c r="I43" s="6" t="e" cm="1">
        <f t="array" ref="I43">_xlfn.LET(_xlpm.v,INDEX(I$3:I$39,MATCH($A43,$A$3:$A$39,0)),IF(ISBLANK(_xlpm.v),NA(),_xlpm.v))</f>
        <v>#N/A</v>
      </c>
      <c r="J43" s="6" t="e" cm="1">
        <f t="array" ref="J43">_xlfn.LET(_xlpm.v,INDEX(J$3:J$39,MATCH($A43,$A$3:$A$39,0)),IF(ISBLANK(_xlpm.v),NA(),_xlpm.v))</f>
        <v>#N/A</v>
      </c>
      <c r="K43" s="6" t="e" cm="1">
        <f t="array" ref="K43">_xlfn.LET(_xlpm.v,INDEX(K$3:K$39,MATCH($A43,$A$3:$A$39,0)),IF(ISBLANK(_xlpm.v),NA(),_xlpm.v))</f>
        <v>#N/A</v>
      </c>
      <c r="L43" s="6" t="e" cm="1">
        <f t="array" ref="L43">_xlfn.LET(_xlpm.v,INDEX(L$3:L$39,MATCH($A43,$A$3:$A$39,0)),IF(ISBLANK(_xlpm.v),NA(),_xlpm.v))</f>
        <v>#N/A</v>
      </c>
      <c r="M43" s="6" t="e" cm="1">
        <f t="array" ref="M43">_xlfn.LET(_xlpm.v,INDEX(M$3:M$39,MATCH($A43,$A$3:$A$39,0)),IF(ISBLANK(_xlpm.v),NA(),_xlpm.v))</f>
        <v>#N/A</v>
      </c>
      <c r="N43" s="6" t="e" cm="1">
        <f t="array" ref="N43">_xlfn.LET(_xlpm.v,INDEX(N$3:N$39,MATCH($A43,$A$3:$A$39,0)),IF(ISBLANK(_xlpm.v),NA(),_xlpm.v))</f>
        <v>#N/A</v>
      </c>
    </row>
    <row r="44" spans="1:14" x14ac:dyDescent="0.4">
      <c r="A44" s="5">
        <v>-85</v>
      </c>
      <c r="B44" s="6" cm="1">
        <f t="array" ref="B44">_xlfn.LET(_xlpm.v,INDEX(B$3:B$39,MATCH($A44,$A$3:$A$39,0)),IF(ISBLANK(_xlpm.v),NA(),_xlpm.v))</f>
        <v>731</v>
      </c>
      <c r="C44" s="6" cm="1">
        <f t="array" ref="C44">_xlfn.LET(_xlpm.v,INDEX(C$3:C$39,MATCH($A44,$A$3:$A$39,0)),IF(ISBLANK(_xlpm.v),NA(),_xlpm.v))</f>
        <v>769</v>
      </c>
      <c r="D44" s="6" cm="1">
        <f t="array" ref="D44">_xlfn.LET(_xlpm.v,INDEX(D$3:D$39,MATCH($A44,$A$3:$A$39,0)),IF(ISBLANK(_xlpm.v),NA(),_xlpm.v))</f>
        <v>790</v>
      </c>
      <c r="E44" s="6" cm="1">
        <f t="array" ref="E44">_xlfn.LET(_xlpm.v,INDEX(E$3:E$39,MATCH($A44,$A$3:$A$39,0)),IF(ISBLANK(_xlpm.v),NA(),_xlpm.v))</f>
        <v>800</v>
      </c>
      <c r="F44" s="6" cm="1">
        <f t="array" ref="F44">_xlfn.LET(_xlpm.v,INDEX(F$3:F$39,MATCH($A44,$A$3:$A$39,0)),IF(ISBLANK(_xlpm.v),NA(),_xlpm.v))</f>
        <v>812</v>
      </c>
      <c r="G44" s="6" t="e" cm="1">
        <f t="array" ref="G44">_xlfn.LET(_xlpm.v,INDEX(G$3:G$39,MATCH($A44,$A$3:$A$39,0)),IF(ISBLANK(_xlpm.v),NA(),_xlpm.v))</f>
        <v>#N/A</v>
      </c>
      <c r="H44" s="6" t="e" cm="1">
        <f t="array" ref="H44">_xlfn.LET(_xlpm.v,INDEX(H$3:H$39,MATCH($A44,$A$3:$A$39,0)),IF(ISBLANK(_xlpm.v),NA(),_xlpm.v))</f>
        <v>#N/A</v>
      </c>
      <c r="I44" s="6" t="e" cm="1">
        <f t="array" ref="I44">_xlfn.LET(_xlpm.v,INDEX(I$3:I$39,MATCH($A44,$A$3:$A$39,0)),IF(ISBLANK(_xlpm.v),NA(),_xlpm.v))</f>
        <v>#N/A</v>
      </c>
      <c r="J44" s="6" t="e" cm="1">
        <f t="array" ref="J44">_xlfn.LET(_xlpm.v,INDEX(J$3:J$39,MATCH($A44,$A$3:$A$39,0)),IF(ISBLANK(_xlpm.v),NA(),_xlpm.v))</f>
        <v>#N/A</v>
      </c>
      <c r="K44" s="6" t="e" cm="1">
        <f t="array" ref="K44">_xlfn.LET(_xlpm.v,INDEX(K$3:K$39,MATCH($A44,$A$3:$A$39,0)),IF(ISBLANK(_xlpm.v),NA(),_xlpm.v))</f>
        <v>#N/A</v>
      </c>
      <c r="L44" s="6" t="e" cm="1">
        <f t="array" ref="L44">_xlfn.LET(_xlpm.v,INDEX(L$3:L$39,MATCH($A44,$A$3:$A$39,0)),IF(ISBLANK(_xlpm.v),NA(),_xlpm.v))</f>
        <v>#N/A</v>
      </c>
      <c r="M44" s="6" t="e" cm="1">
        <f t="array" ref="M44">_xlfn.LET(_xlpm.v,INDEX(M$3:M$39,MATCH($A44,$A$3:$A$39,0)),IF(ISBLANK(_xlpm.v),NA(),_xlpm.v))</f>
        <v>#N/A</v>
      </c>
      <c r="N44" s="6" t="e" cm="1">
        <f t="array" ref="N44">_xlfn.LET(_xlpm.v,INDEX(N$3:N$39,MATCH($A44,$A$3:$A$39,0)),IF(ISBLANK(_xlpm.v),NA(),_xlpm.v))</f>
        <v>#N/A</v>
      </c>
    </row>
    <row r="45" spans="1:14" x14ac:dyDescent="0.4">
      <c r="A45" s="5">
        <v>-80</v>
      </c>
      <c r="B45" s="6" cm="1">
        <f t="array" ref="B45">_xlfn.LET(_xlpm.v,INDEX(B$3:B$39,MATCH($A45,$A$3:$A$39,0)),IF(ISBLANK(_xlpm.v),NA(),_xlpm.v))</f>
        <v>637</v>
      </c>
      <c r="C45" s="6" cm="1">
        <f t="array" ref="C45">_xlfn.LET(_xlpm.v,INDEX(C$3:C$39,MATCH($A45,$A$3:$A$39,0)),IF(ISBLANK(_xlpm.v),NA(),_xlpm.v))</f>
        <v>671</v>
      </c>
      <c r="D45" s="6" cm="1">
        <f t="array" ref="D45">_xlfn.LET(_xlpm.v,INDEX(D$3:D$39,MATCH($A45,$A$3:$A$39,0)),IF(ISBLANK(_xlpm.v),NA(),_xlpm.v))</f>
        <v>711</v>
      </c>
      <c r="E45" s="6" cm="1">
        <f t="array" ref="E45">_xlfn.LET(_xlpm.v,INDEX(E$3:E$39,MATCH($A45,$A$3:$A$39,0)),IF(ISBLANK(_xlpm.v),NA(),_xlpm.v))</f>
        <v>718</v>
      </c>
      <c r="F45" s="6" cm="1">
        <f t="array" ref="F45">_xlfn.LET(_xlpm.v,INDEX(F$3:F$39,MATCH($A45,$A$3:$A$39,0)),IF(ISBLANK(_xlpm.v),NA(),_xlpm.v))</f>
        <v>739</v>
      </c>
      <c r="G45" s="6" t="e" cm="1">
        <f t="array" ref="G45">_xlfn.LET(_xlpm.v,INDEX(G$3:G$39,MATCH($A45,$A$3:$A$39,0)),IF(ISBLANK(_xlpm.v),NA(),_xlpm.v))</f>
        <v>#N/A</v>
      </c>
      <c r="H45" s="6" t="e" cm="1">
        <f t="array" ref="H45">_xlfn.LET(_xlpm.v,INDEX(H$3:H$39,MATCH($A45,$A$3:$A$39,0)),IF(ISBLANK(_xlpm.v),NA(),_xlpm.v))</f>
        <v>#N/A</v>
      </c>
      <c r="I45" s="6" t="e" cm="1">
        <f t="array" ref="I45">_xlfn.LET(_xlpm.v,INDEX(I$3:I$39,MATCH($A45,$A$3:$A$39,0)),IF(ISBLANK(_xlpm.v),NA(),_xlpm.v))</f>
        <v>#N/A</v>
      </c>
      <c r="J45" s="6" t="e" cm="1">
        <f t="array" ref="J45">_xlfn.LET(_xlpm.v,INDEX(J$3:J$39,MATCH($A45,$A$3:$A$39,0)),IF(ISBLANK(_xlpm.v),NA(),_xlpm.v))</f>
        <v>#N/A</v>
      </c>
      <c r="K45" s="6" t="e" cm="1">
        <f t="array" ref="K45">_xlfn.LET(_xlpm.v,INDEX(K$3:K$39,MATCH($A45,$A$3:$A$39,0)),IF(ISBLANK(_xlpm.v),NA(),_xlpm.v))</f>
        <v>#N/A</v>
      </c>
      <c r="L45" s="6" t="e" cm="1">
        <f t="array" ref="L45">_xlfn.LET(_xlpm.v,INDEX(L$3:L$39,MATCH($A45,$A$3:$A$39,0)),IF(ISBLANK(_xlpm.v),NA(),_xlpm.v))</f>
        <v>#N/A</v>
      </c>
      <c r="M45" s="6" t="e" cm="1">
        <f t="array" ref="M45">_xlfn.LET(_xlpm.v,INDEX(M$3:M$39,MATCH($A45,$A$3:$A$39,0)),IF(ISBLANK(_xlpm.v),NA(),_xlpm.v))</f>
        <v>#N/A</v>
      </c>
      <c r="N45" s="6" t="e" cm="1">
        <f t="array" ref="N45">_xlfn.LET(_xlpm.v,INDEX(N$3:N$39,MATCH($A45,$A$3:$A$39,0)),IF(ISBLANK(_xlpm.v),NA(),_xlpm.v))</f>
        <v>#N/A</v>
      </c>
    </row>
    <row r="46" spans="1:14" x14ac:dyDescent="0.4">
      <c r="A46" s="5">
        <v>-75</v>
      </c>
      <c r="B46" s="6" cm="1">
        <f t="array" ref="B46">_xlfn.LET(_xlpm.v,INDEX(B$3:B$39,MATCH($A46,$A$3:$A$39,0)),IF(ISBLANK(_xlpm.v),NA(),_xlpm.v))</f>
        <v>533</v>
      </c>
      <c r="C46" s="6" cm="1">
        <f t="array" ref="C46">_xlfn.LET(_xlpm.v,INDEX(C$3:C$39,MATCH($A46,$A$3:$A$39,0)),IF(ISBLANK(_xlpm.v),NA(),_xlpm.v))</f>
        <v>578</v>
      </c>
      <c r="D46" s="6" cm="1">
        <f t="array" ref="D46">_xlfn.LET(_xlpm.v,INDEX(D$3:D$39,MATCH($A46,$A$3:$A$39,0)),IF(ISBLANK(_xlpm.v),NA(),_xlpm.v))</f>
        <v>618</v>
      </c>
      <c r="E46" s="6" cm="1">
        <f t="array" ref="E46">_xlfn.LET(_xlpm.v,INDEX(E$3:E$39,MATCH($A46,$A$3:$A$39,0)),IF(ISBLANK(_xlpm.v),NA(),_xlpm.v))</f>
        <v>644</v>
      </c>
      <c r="F46" s="6" cm="1">
        <f t="array" ref="F46">_xlfn.LET(_xlpm.v,INDEX(F$3:F$39,MATCH($A46,$A$3:$A$39,0)),IF(ISBLANK(_xlpm.v),NA(),_xlpm.v))</f>
        <v>652</v>
      </c>
      <c r="G46" s="6" t="e" cm="1">
        <f t="array" ref="G46">_xlfn.LET(_xlpm.v,INDEX(G$3:G$39,MATCH($A46,$A$3:$A$39,0)),IF(ISBLANK(_xlpm.v),NA(),_xlpm.v))</f>
        <v>#N/A</v>
      </c>
      <c r="H46" s="6" t="e" cm="1">
        <f t="array" ref="H46">_xlfn.LET(_xlpm.v,INDEX(H$3:H$39,MATCH($A46,$A$3:$A$39,0)),IF(ISBLANK(_xlpm.v),NA(),_xlpm.v))</f>
        <v>#N/A</v>
      </c>
      <c r="I46" s="6" t="e" cm="1">
        <f t="array" ref="I46">_xlfn.LET(_xlpm.v,INDEX(I$3:I$39,MATCH($A46,$A$3:$A$39,0)),IF(ISBLANK(_xlpm.v),NA(),_xlpm.v))</f>
        <v>#N/A</v>
      </c>
      <c r="J46" s="6" t="e" cm="1">
        <f t="array" ref="J46">_xlfn.LET(_xlpm.v,INDEX(J$3:J$39,MATCH($A46,$A$3:$A$39,0)),IF(ISBLANK(_xlpm.v),NA(),_xlpm.v))</f>
        <v>#N/A</v>
      </c>
      <c r="K46" s="6" t="e" cm="1">
        <f t="array" ref="K46">_xlfn.LET(_xlpm.v,INDEX(K$3:K$39,MATCH($A46,$A$3:$A$39,0)),IF(ISBLANK(_xlpm.v),NA(),_xlpm.v))</f>
        <v>#N/A</v>
      </c>
      <c r="L46" s="6" t="e" cm="1">
        <f t="array" ref="L46">_xlfn.LET(_xlpm.v,INDEX(L$3:L$39,MATCH($A46,$A$3:$A$39,0)),IF(ISBLANK(_xlpm.v),NA(),_xlpm.v))</f>
        <v>#N/A</v>
      </c>
      <c r="M46" s="6" t="e" cm="1">
        <f t="array" ref="M46">_xlfn.LET(_xlpm.v,INDEX(M$3:M$39,MATCH($A46,$A$3:$A$39,0)),IF(ISBLANK(_xlpm.v),NA(),_xlpm.v))</f>
        <v>#N/A</v>
      </c>
      <c r="N46" s="6" t="e" cm="1">
        <f t="array" ref="N46">_xlfn.LET(_xlpm.v,INDEX(N$3:N$39,MATCH($A46,$A$3:$A$39,0)),IF(ISBLANK(_xlpm.v),NA(),_xlpm.v))</f>
        <v>#N/A</v>
      </c>
    </row>
    <row r="47" spans="1:14" x14ac:dyDescent="0.4">
      <c r="A47" s="5">
        <v>-70</v>
      </c>
      <c r="B47" s="6" cm="1">
        <f t="array" ref="B47">_xlfn.LET(_xlpm.v,INDEX(B$3:B$39,MATCH($A47,$A$3:$A$39,0)),IF(ISBLANK(_xlpm.v),NA(),_xlpm.v))</f>
        <v>436</v>
      </c>
      <c r="C47" s="6" cm="1">
        <f t="array" ref="C47">_xlfn.LET(_xlpm.v,INDEX(C$3:C$39,MATCH($A47,$A$3:$A$39,0)),IF(ISBLANK(_xlpm.v),NA(),_xlpm.v))</f>
        <v>474</v>
      </c>
      <c r="D47" s="6" cm="1">
        <f t="array" ref="D47">_xlfn.LET(_xlpm.v,INDEX(D$3:D$39,MATCH($A47,$A$3:$A$39,0)),IF(ISBLANK(_xlpm.v),NA(),_xlpm.v))</f>
        <v>518</v>
      </c>
      <c r="E47" s="6" cm="1">
        <f t="array" ref="E47">_xlfn.LET(_xlpm.v,INDEX(E$3:E$39,MATCH($A47,$A$3:$A$39,0)),IF(ISBLANK(_xlpm.v),NA(),_xlpm.v))</f>
        <v>539</v>
      </c>
      <c r="F47" s="6" cm="1">
        <f t="array" ref="F47">_xlfn.LET(_xlpm.v,INDEX(F$3:F$39,MATCH($A47,$A$3:$A$39,0)),IF(ISBLANK(_xlpm.v),NA(),_xlpm.v))</f>
        <v>558</v>
      </c>
      <c r="G47" s="6" t="e" cm="1">
        <f t="array" ref="G47">_xlfn.LET(_xlpm.v,INDEX(G$3:G$39,MATCH($A47,$A$3:$A$39,0)),IF(ISBLANK(_xlpm.v),NA(),_xlpm.v))</f>
        <v>#N/A</v>
      </c>
      <c r="H47" s="6" t="e" cm="1">
        <f t="array" ref="H47">_xlfn.LET(_xlpm.v,INDEX(H$3:H$39,MATCH($A47,$A$3:$A$39,0)),IF(ISBLANK(_xlpm.v),NA(),_xlpm.v))</f>
        <v>#N/A</v>
      </c>
      <c r="I47" s="6" t="e" cm="1">
        <f t="array" ref="I47">_xlfn.LET(_xlpm.v,INDEX(I$3:I$39,MATCH($A47,$A$3:$A$39,0)),IF(ISBLANK(_xlpm.v),NA(),_xlpm.v))</f>
        <v>#N/A</v>
      </c>
      <c r="J47" s="6" t="e" cm="1">
        <f t="array" ref="J47">_xlfn.LET(_xlpm.v,INDEX(J$3:J$39,MATCH($A47,$A$3:$A$39,0)),IF(ISBLANK(_xlpm.v),NA(),_xlpm.v))</f>
        <v>#N/A</v>
      </c>
      <c r="K47" s="6" t="e" cm="1">
        <f t="array" ref="K47">_xlfn.LET(_xlpm.v,INDEX(K$3:K$39,MATCH($A47,$A$3:$A$39,0)),IF(ISBLANK(_xlpm.v),NA(),_xlpm.v))</f>
        <v>#N/A</v>
      </c>
      <c r="L47" s="6" t="e" cm="1">
        <f t="array" ref="L47">_xlfn.LET(_xlpm.v,INDEX(L$3:L$39,MATCH($A47,$A$3:$A$39,0)),IF(ISBLANK(_xlpm.v),NA(),_xlpm.v))</f>
        <v>#N/A</v>
      </c>
      <c r="M47" s="6" t="e" cm="1">
        <f t="array" ref="M47">_xlfn.LET(_xlpm.v,INDEX(M$3:M$39,MATCH($A47,$A$3:$A$39,0)),IF(ISBLANK(_xlpm.v),NA(),_xlpm.v))</f>
        <v>#N/A</v>
      </c>
      <c r="N47" s="6" t="e" cm="1">
        <f t="array" ref="N47">_xlfn.LET(_xlpm.v,INDEX(N$3:N$39,MATCH($A47,$A$3:$A$39,0)),IF(ISBLANK(_xlpm.v),NA(),_xlpm.v))</f>
        <v>#N/A</v>
      </c>
    </row>
    <row r="48" spans="1:14" x14ac:dyDescent="0.4">
      <c r="A48" s="5">
        <v>-65</v>
      </c>
      <c r="B48" s="6" cm="1">
        <f t="array" ref="B48">_xlfn.LET(_xlpm.v,INDEX(B$3:B$39,MATCH($A48,$A$3:$A$39,0)),IF(ISBLANK(_xlpm.v),NA(),_xlpm.v))</f>
        <v>354</v>
      </c>
      <c r="C48" s="6" cm="1">
        <f t="array" ref="C48">_xlfn.LET(_xlpm.v,INDEX(C$3:C$39,MATCH($A48,$A$3:$A$39,0)),IF(ISBLANK(_xlpm.v),NA(),_xlpm.v))</f>
        <v>389</v>
      </c>
      <c r="D48" s="6" cm="1">
        <f t="array" ref="D48">_xlfn.LET(_xlpm.v,INDEX(D$3:D$39,MATCH($A48,$A$3:$A$39,0)),IF(ISBLANK(_xlpm.v),NA(),_xlpm.v))</f>
        <v>436</v>
      </c>
      <c r="E48" s="6" cm="1">
        <f t="array" ref="E48">_xlfn.LET(_xlpm.v,INDEX(E$3:E$39,MATCH($A48,$A$3:$A$39,0)),IF(ISBLANK(_xlpm.v),NA(),_xlpm.v))</f>
        <v>453</v>
      </c>
      <c r="F48" s="6" cm="1">
        <f t="array" ref="F48">_xlfn.LET(_xlpm.v,INDEX(F$3:F$39,MATCH($A48,$A$3:$A$39,0)),IF(ISBLANK(_xlpm.v),NA(),_xlpm.v))</f>
        <v>471</v>
      </c>
      <c r="G48" s="6" t="e" cm="1">
        <f t="array" ref="G48">_xlfn.LET(_xlpm.v,INDEX(G$3:G$39,MATCH($A48,$A$3:$A$39,0)),IF(ISBLANK(_xlpm.v),NA(),_xlpm.v))</f>
        <v>#N/A</v>
      </c>
      <c r="H48" s="6" t="e" cm="1">
        <f t="array" ref="H48">_xlfn.LET(_xlpm.v,INDEX(H$3:H$39,MATCH($A48,$A$3:$A$39,0)),IF(ISBLANK(_xlpm.v),NA(),_xlpm.v))</f>
        <v>#N/A</v>
      </c>
      <c r="I48" s="6" t="e" cm="1">
        <f t="array" ref="I48">_xlfn.LET(_xlpm.v,INDEX(I$3:I$39,MATCH($A48,$A$3:$A$39,0)),IF(ISBLANK(_xlpm.v),NA(),_xlpm.v))</f>
        <v>#N/A</v>
      </c>
      <c r="J48" s="6" t="e" cm="1">
        <f t="array" ref="J48">_xlfn.LET(_xlpm.v,INDEX(J$3:J$39,MATCH($A48,$A$3:$A$39,0)),IF(ISBLANK(_xlpm.v),NA(),_xlpm.v))</f>
        <v>#N/A</v>
      </c>
      <c r="K48" s="6" t="e" cm="1">
        <f t="array" ref="K48">_xlfn.LET(_xlpm.v,INDEX(K$3:K$39,MATCH($A48,$A$3:$A$39,0)),IF(ISBLANK(_xlpm.v),NA(),_xlpm.v))</f>
        <v>#N/A</v>
      </c>
      <c r="L48" s="6" t="e" cm="1">
        <f t="array" ref="L48">_xlfn.LET(_xlpm.v,INDEX(L$3:L$39,MATCH($A48,$A$3:$A$39,0)),IF(ISBLANK(_xlpm.v),NA(),_xlpm.v))</f>
        <v>#N/A</v>
      </c>
      <c r="M48" s="6" t="e" cm="1">
        <f t="array" ref="M48">_xlfn.LET(_xlpm.v,INDEX(M$3:M$39,MATCH($A48,$A$3:$A$39,0)),IF(ISBLANK(_xlpm.v),NA(),_xlpm.v))</f>
        <v>#N/A</v>
      </c>
      <c r="N48" s="6" t="e" cm="1">
        <f t="array" ref="N48">_xlfn.LET(_xlpm.v,INDEX(N$3:N$39,MATCH($A48,$A$3:$A$39,0)),IF(ISBLANK(_xlpm.v),NA(),_xlpm.v))</f>
        <v>#N/A</v>
      </c>
    </row>
    <row r="49" spans="1:14" x14ac:dyDescent="0.4">
      <c r="A49" s="5">
        <v>-60</v>
      </c>
      <c r="B49" s="6" cm="1">
        <f t="array" ref="B49">_xlfn.LET(_xlpm.v,INDEX(B$3:B$39,MATCH($A49,$A$3:$A$39,0)),IF(ISBLANK(_xlpm.v),NA(),_xlpm.v))</f>
        <v>250</v>
      </c>
      <c r="C49" s="6" cm="1">
        <f t="array" ref="C49">_xlfn.LET(_xlpm.v,INDEX(C$3:C$39,MATCH($A49,$A$3:$A$39,0)),IF(ISBLANK(_xlpm.v),NA(),_xlpm.v))</f>
        <v>313</v>
      </c>
      <c r="D49" s="6" cm="1">
        <f t="array" ref="D49">_xlfn.LET(_xlpm.v,INDEX(D$3:D$39,MATCH($A49,$A$3:$A$39,0)),IF(ISBLANK(_xlpm.v),NA(),_xlpm.v))</f>
        <v>363</v>
      </c>
      <c r="E49" s="6" cm="1">
        <f t="array" ref="E49">_xlfn.LET(_xlpm.v,INDEX(E$3:E$39,MATCH($A49,$A$3:$A$39,0)),IF(ISBLANK(_xlpm.v),NA(),_xlpm.v))</f>
        <v>372</v>
      </c>
      <c r="F49" s="6" cm="1">
        <f t="array" ref="F49">_xlfn.LET(_xlpm.v,INDEX(F$3:F$39,MATCH($A49,$A$3:$A$39,0)),IF(ISBLANK(_xlpm.v),NA(),_xlpm.v))</f>
        <v>395</v>
      </c>
      <c r="G49" s="6" t="e" cm="1">
        <f t="array" ref="G49">_xlfn.LET(_xlpm.v,INDEX(G$3:G$39,MATCH($A49,$A$3:$A$39,0)),IF(ISBLANK(_xlpm.v),NA(),_xlpm.v))</f>
        <v>#N/A</v>
      </c>
      <c r="H49" s="6" t="e" cm="1">
        <f t="array" ref="H49">_xlfn.LET(_xlpm.v,INDEX(H$3:H$39,MATCH($A49,$A$3:$A$39,0)),IF(ISBLANK(_xlpm.v),NA(),_xlpm.v))</f>
        <v>#N/A</v>
      </c>
      <c r="I49" s="6" t="e" cm="1">
        <f t="array" ref="I49">_xlfn.LET(_xlpm.v,INDEX(I$3:I$39,MATCH($A49,$A$3:$A$39,0)),IF(ISBLANK(_xlpm.v),NA(),_xlpm.v))</f>
        <v>#N/A</v>
      </c>
      <c r="J49" s="6" t="e" cm="1">
        <f t="array" ref="J49">_xlfn.LET(_xlpm.v,INDEX(J$3:J$39,MATCH($A49,$A$3:$A$39,0)),IF(ISBLANK(_xlpm.v),NA(),_xlpm.v))</f>
        <v>#N/A</v>
      </c>
      <c r="K49" s="6" t="e" cm="1">
        <f t="array" ref="K49">_xlfn.LET(_xlpm.v,INDEX(K$3:K$39,MATCH($A49,$A$3:$A$39,0)),IF(ISBLANK(_xlpm.v),NA(),_xlpm.v))</f>
        <v>#N/A</v>
      </c>
      <c r="L49" s="6" t="e" cm="1">
        <f t="array" ref="L49">_xlfn.LET(_xlpm.v,INDEX(L$3:L$39,MATCH($A49,$A$3:$A$39,0)),IF(ISBLANK(_xlpm.v),NA(),_xlpm.v))</f>
        <v>#N/A</v>
      </c>
      <c r="M49" s="6" t="e" cm="1">
        <f t="array" ref="M49">_xlfn.LET(_xlpm.v,INDEX(M$3:M$39,MATCH($A49,$A$3:$A$39,0)),IF(ISBLANK(_xlpm.v),NA(),_xlpm.v))</f>
        <v>#N/A</v>
      </c>
      <c r="N49" s="6" t="e" cm="1">
        <f t="array" ref="N49">_xlfn.LET(_xlpm.v,INDEX(N$3:N$39,MATCH($A49,$A$3:$A$39,0)),IF(ISBLANK(_xlpm.v),NA(),_xlpm.v))</f>
        <v>#N/A</v>
      </c>
    </row>
    <row r="50" spans="1:14" x14ac:dyDescent="0.4">
      <c r="A50" s="5">
        <v>-55</v>
      </c>
      <c r="B50" s="6" cm="1">
        <f t="array" ref="B50">_xlfn.LET(_xlpm.v,INDEX(B$3:B$39,MATCH($A50,$A$3:$A$39,0)),IF(ISBLANK(_xlpm.v),NA(),_xlpm.v))</f>
        <v>199</v>
      </c>
      <c r="C50" s="6" cm="1">
        <f t="array" ref="C50">_xlfn.LET(_xlpm.v,INDEX(C$3:C$39,MATCH($A50,$A$3:$A$39,0)),IF(ISBLANK(_xlpm.v),NA(),_xlpm.v))</f>
        <v>250</v>
      </c>
      <c r="D50" s="6" cm="1">
        <f t="array" ref="D50">_xlfn.LET(_xlpm.v,INDEX(D$3:D$39,MATCH($A50,$A$3:$A$39,0)),IF(ISBLANK(_xlpm.v),NA(),_xlpm.v))</f>
        <v>289</v>
      </c>
      <c r="E50" s="6" cm="1">
        <f t="array" ref="E50">_xlfn.LET(_xlpm.v,INDEX(E$3:E$39,MATCH($A50,$A$3:$A$39,0)),IF(ISBLANK(_xlpm.v),NA(),_xlpm.v))</f>
        <v>314</v>
      </c>
      <c r="F50" s="6" cm="1">
        <f t="array" ref="F50">_xlfn.LET(_xlpm.v,INDEX(F$3:F$39,MATCH($A50,$A$3:$A$39,0)),IF(ISBLANK(_xlpm.v),NA(),_xlpm.v))</f>
        <v>322</v>
      </c>
      <c r="G50" s="6" t="e" cm="1">
        <f t="array" ref="G50">_xlfn.LET(_xlpm.v,INDEX(G$3:G$39,MATCH($A50,$A$3:$A$39,0)),IF(ISBLANK(_xlpm.v),NA(),_xlpm.v))</f>
        <v>#N/A</v>
      </c>
      <c r="H50" s="6" t="e" cm="1">
        <f t="array" ref="H50">_xlfn.LET(_xlpm.v,INDEX(H$3:H$39,MATCH($A50,$A$3:$A$39,0)),IF(ISBLANK(_xlpm.v),NA(),_xlpm.v))</f>
        <v>#N/A</v>
      </c>
      <c r="I50" s="6" t="e" cm="1">
        <f t="array" ref="I50">_xlfn.LET(_xlpm.v,INDEX(I$3:I$39,MATCH($A50,$A$3:$A$39,0)),IF(ISBLANK(_xlpm.v),NA(),_xlpm.v))</f>
        <v>#N/A</v>
      </c>
      <c r="J50" s="6" t="e" cm="1">
        <f t="array" ref="J50">_xlfn.LET(_xlpm.v,INDEX(J$3:J$39,MATCH($A50,$A$3:$A$39,0)),IF(ISBLANK(_xlpm.v),NA(),_xlpm.v))</f>
        <v>#N/A</v>
      </c>
      <c r="K50" s="6" t="e" cm="1">
        <f t="array" ref="K50">_xlfn.LET(_xlpm.v,INDEX(K$3:K$39,MATCH($A50,$A$3:$A$39,0)),IF(ISBLANK(_xlpm.v),NA(),_xlpm.v))</f>
        <v>#N/A</v>
      </c>
      <c r="L50" s="6" t="e" cm="1">
        <f t="array" ref="L50">_xlfn.LET(_xlpm.v,INDEX(L$3:L$39,MATCH($A50,$A$3:$A$39,0)),IF(ISBLANK(_xlpm.v),NA(),_xlpm.v))</f>
        <v>#N/A</v>
      </c>
      <c r="M50" s="6" t="e" cm="1">
        <f t="array" ref="M50">_xlfn.LET(_xlpm.v,INDEX(M$3:M$39,MATCH($A50,$A$3:$A$39,0)),IF(ISBLANK(_xlpm.v),NA(),_xlpm.v))</f>
        <v>#N/A</v>
      </c>
      <c r="N50" s="6" t="e" cm="1">
        <f t="array" ref="N50">_xlfn.LET(_xlpm.v,INDEX(N$3:N$39,MATCH($A50,$A$3:$A$39,0)),IF(ISBLANK(_xlpm.v),NA(),_xlpm.v))</f>
        <v>#N/A</v>
      </c>
    </row>
    <row r="51" spans="1:14" x14ac:dyDescent="0.4">
      <c r="A51" s="5">
        <v>-50</v>
      </c>
      <c r="B51" s="6" cm="1">
        <f t="array" ref="B51">_xlfn.LET(_xlpm.v,INDEX(B$3:B$39,MATCH($A51,$A$3:$A$39,0)),IF(ISBLANK(_xlpm.v),NA(),_xlpm.v))</f>
        <v>160.80000000000001</v>
      </c>
      <c r="C51" s="6" cm="1">
        <f t="array" ref="C51">_xlfn.LET(_xlpm.v,INDEX(C$3:C$39,MATCH($A51,$A$3:$A$39,0)),IF(ISBLANK(_xlpm.v),NA(),_xlpm.v))</f>
        <v>193</v>
      </c>
      <c r="D51" s="6" cm="1">
        <f t="array" ref="D51">_xlfn.LET(_xlpm.v,INDEX(D$3:D$39,MATCH($A51,$A$3:$A$39,0)),IF(ISBLANK(_xlpm.v),NA(),_xlpm.v))</f>
        <v>224</v>
      </c>
      <c r="E51" s="6" cm="1">
        <f t="array" ref="E51">_xlfn.LET(_xlpm.v,INDEX(E$3:E$39,MATCH($A51,$A$3:$A$39,0)),IF(ISBLANK(_xlpm.v),NA(),_xlpm.v))</f>
        <v>245</v>
      </c>
      <c r="F51" s="6" cm="1">
        <f t="array" ref="F51">_xlfn.LET(_xlpm.v,INDEX(F$3:F$39,MATCH($A51,$A$3:$A$39,0)),IF(ISBLANK(_xlpm.v),NA(),_xlpm.v))</f>
        <v>264</v>
      </c>
      <c r="G51" s="6" t="e" cm="1">
        <f t="array" ref="G51">_xlfn.LET(_xlpm.v,INDEX(G$3:G$39,MATCH($A51,$A$3:$A$39,0)),IF(ISBLANK(_xlpm.v),NA(),_xlpm.v))</f>
        <v>#N/A</v>
      </c>
      <c r="H51" s="6" t="e" cm="1">
        <f t="array" ref="H51">_xlfn.LET(_xlpm.v,INDEX(H$3:H$39,MATCH($A51,$A$3:$A$39,0)),IF(ISBLANK(_xlpm.v),NA(),_xlpm.v))</f>
        <v>#N/A</v>
      </c>
      <c r="I51" s="6" t="e" cm="1">
        <f t="array" ref="I51">_xlfn.LET(_xlpm.v,INDEX(I$3:I$39,MATCH($A51,$A$3:$A$39,0)),IF(ISBLANK(_xlpm.v),NA(),_xlpm.v))</f>
        <v>#N/A</v>
      </c>
      <c r="J51" s="6" t="e" cm="1">
        <f t="array" ref="J51">_xlfn.LET(_xlpm.v,INDEX(J$3:J$39,MATCH($A51,$A$3:$A$39,0)),IF(ISBLANK(_xlpm.v),NA(),_xlpm.v))</f>
        <v>#N/A</v>
      </c>
      <c r="K51" s="6" t="e" cm="1">
        <f t="array" ref="K51">_xlfn.LET(_xlpm.v,INDEX(K$3:K$39,MATCH($A51,$A$3:$A$39,0)),IF(ISBLANK(_xlpm.v),NA(),_xlpm.v))</f>
        <v>#N/A</v>
      </c>
      <c r="L51" s="6" t="e" cm="1">
        <f t="array" ref="L51">_xlfn.LET(_xlpm.v,INDEX(L$3:L$39,MATCH($A51,$A$3:$A$39,0)),IF(ISBLANK(_xlpm.v),NA(),_xlpm.v))</f>
        <v>#N/A</v>
      </c>
      <c r="M51" s="6" t="e" cm="1">
        <f t="array" ref="M51">_xlfn.LET(_xlpm.v,INDEX(M$3:M$39,MATCH($A51,$A$3:$A$39,0)),IF(ISBLANK(_xlpm.v),NA(),_xlpm.v))</f>
        <v>#N/A</v>
      </c>
      <c r="N51" s="6" t="e" cm="1">
        <f t="array" ref="N51">_xlfn.LET(_xlpm.v,INDEX(N$3:N$39,MATCH($A51,$A$3:$A$39,0)),IF(ISBLANK(_xlpm.v),NA(),_xlpm.v))</f>
        <v>#N/A</v>
      </c>
    </row>
    <row r="52" spans="1:14" x14ac:dyDescent="0.4">
      <c r="A52" s="5">
        <v>-45</v>
      </c>
      <c r="B52" s="6" cm="1">
        <f t="array" ref="B52">_xlfn.LET(_xlpm.v,INDEX(B$3:B$39,MATCH($A52,$A$3:$A$39,0)),IF(ISBLANK(_xlpm.v),NA(),_xlpm.v))</f>
        <v>136.4</v>
      </c>
      <c r="C52" s="6" cm="1">
        <f t="array" ref="C52">_xlfn.LET(_xlpm.v,INDEX(C$3:C$39,MATCH($A52,$A$3:$A$39,0)),IF(ISBLANK(_xlpm.v),NA(),_xlpm.v))</f>
        <v>159</v>
      </c>
      <c r="D52" s="6" cm="1">
        <f t="array" ref="D52">_xlfn.LET(_xlpm.v,INDEX(D$3:D$39,MATCH($A52,$A$3:$A$39,0)),IF(ISBLANK(_xlpm.v),NA(),_xlpm.v))</f>
        <v>181</v>
      </c>
      <c r="E52" s="6" cm="1">
        <f t="array" ref="E52">_xlfn.LET(_xlpm.v,INDEX(E$3:E$39,MATCH($A52,$A$3:$A$39,0)),IF(ISBLANK(_xlpm.v),NA(),_xlpm.v))</f>
        <v>188</v>
      </c>
      <c r="F52" s="6" cm="1">
        <f t="array" ref="F52">_xlfn.LET(_xlpm.v,INDEX(F$3:F$39,MATCH($A52,$A$3:$A$39,0)),IF(ISBLANK(_xlpm.v),NA(),_xlpm.v))</f>
        <v>207</v>
      </c>
      <c r="G52" s="6" t="e" cm="1">
        <f t="array" ref="G52">_xlfn.LET(_xlpm.v,INDEX(G$3:G$39,MATCH($A52,$A$3:$A$39,0)),IF(ISBLANK(_xlpm.v),NA(),_xlpm.v))</f>
        <v>#N/A</v>
      </c>
      <c r="H52" s="6" t="e" cm="1">
        <f t="array" ref="H52">_xlfn.LET(_xlpm.v,INDEX(H$3:H$39,MATCH($A52,$A$3:$A$39,0)),IF(ISBLANK(_xlpm.v),NA(),_xlpm.v))</f>
        <v>#N/A</v>
      </c>
      <c r="I52" s="6" t="e" cm="1">
        <f t="array" ref="I52">_xlfn.LET(_xlpm.v,INDEX(I$3:I$39,MATCH($A52,$A$3:$A$39,0)),IF(ISBLANK(_xlpm.v),NA(),_xlpm.v))</f>
        <v>#N/A</v>
      </c>
      <c r="J52" s="6" t="e" cm="1">
        <f t="array" ref="J52">_xlfn.LET(_xlpm.v,INDEX(J$3:J$39,MATCH($A52,$A$3:$A$39,0)),IF(ISBLANK(_xlpm.v),NA(),_xlpm.v))</f>
        <v>#N/A</v>
      </c>
      <c r="K52" s="6" t="e" cm="1">
        <f t="array" ref="K52">_xlfn.LET(_xlpm.v,INDEX(K$3:K$39,MATCH($A52,$A$3:$A$39,0)),IF(ISBLANK(_xlpm.v),NA(),_xlpm.v))</f>
        <v>#N/A</v>
      </c>
      <c r="L52" s="6" t="e" cm="1">
        <f t="array" ref="L52">_xlfn.LET(_xlpm.v,INDEX(L$3:L$39,MATCH($A52,$A$3:$A$39,0)),IF(ISBLANK(_xlpm.v),NA(),_xlpm.v))</f>
        <v>#N/A</v>
      </c>
      <c r="M52" s="6" t="e" cm="1">
        <f t="array" ref="M52">_xlfn.LET(_xlpm.v,INDEX(M$3:M$39,MATCH($A52,$A$3:$A$39,0)),IF(ISBLANK(_xlpm.v),NA(),_xlpm.v))</f>
        <v>#N/A</v>
      </c>
      <c r="N52" s="6" t="e" cm="1">
        <f t="array" ref="N52">_xlfn.LET(_xlpm.v,INDEX(N$3:N$39,MATCH($A52,$A$3:$A$39,0)),IF(ISBLANK(_xlpm.v),NA(),_xlpm.v))</f>
        <v>#N/A</v>
      </c>
    </row>
    <row r="53" spans="1:14" x14ac:dyDescent="0.4">
      <c r="A53" s="5">
        <v>-40</v>
      </c>
      <c r="B53" s="6" cm="1">
        <f t="array" ref="B53">_xlfn.LET(_xlpm.v,INDEX(B$3:B$39,MATCH($A53,$A$3:$A$39,0)),IF(ISBLANK(_xlpm.v),NA(),_xlpm.v))</f>
        <v>131.30000000000001</v>
      </c>
      <c r="C53" s="6" cm="1">
        <f t="array" ref="C53">_xlfn.LET(_xlpm.v,INDEX(C$3:C$39,MATCH($A53,$A$3:$A$39,0)),IF(ISBLANK(_xlpm.v),NA(),_xlpm.v))</f>
        <v>130</v>
      </c>
      <c r="D53" s="6" cm="1">
        <f t="array" ref="D53">_xlfn.LET(_xlpm.v,INDEX(D$3:D$39,MATCH($A53,$A$3:$A$39,0)),IF(ISBLANK(_xlpm.v),NA(),_xlpm.v))</f>
        <v>143</v>
      </c>
      <c r="E53" s="6" cm="1">
        <f t="array" ref="E53">_xlfn.LET(_xlpm.v,INDEX(E$3:E$39,MATCH($A53,$A$3:$A$39,0)),IF(ISBLANK(_xlpm.v),NA(),_xlpm.v))</f>
        <v>149</v>
      </c>
      <c r="F53" s="6" cm="1">
        <f t="array" ref="F53">_xlfn.LET(_xlpm.v,INDEX(F$3:F$39,MATCH($A53,$A$3:$A$39,0)),IF(ISBLANK(_xlpm.v),NA(),_xlpm.v))</f>
        <v>156</v>
      </c>
      <c r="G53" s="6" t="e" cm="1">
        <f t="array" ref="G53">_xlfn.LET(_xlpm.v,INDEX(G$3:G$39,MATCH($A53,$A$3:$A$39,0)),IF(ISBLANK(_xlpm.v),NA(),_xlpm.v))</f>
        <v>#N/A</v>
      </c>
      <c r="H53" s="6" t="e" cm="1">
        <f t="array" ref="H53">_xlfn.LET(_xlpm.v,INDEX(H$3:H$39,MATCH($A53,$A$3:$A$39,0)),IF(ISBLANK(_xlpm.v),NA(),_xlpm.v))</f>
        <v>#N/A</v>
      </c>
      <c r="I53" s="6" t="e" cm="1">
        <f t="array" ref="I53">_xlfn.LET(_xlpm.v,INDEX(I$3:I$39,MATCH($A53,$A$3:$A$39,0)),IF(ISBLANK(_xlpm.v),NA(),_xlpm.v))</f>
        <v>#N/A</v>
      </c>
      <c r="J53" s="6" t="e" cm="1">
        <f t="array" ref="J53">_xlfn.LET(_xlpm.v,INDEX(J$3:J$39,MATCH($A53,$A$3:$A$39,0)),IF(ISBLANK(_xlpm.v),NA(),_xlpm.v))</f>
        <v>#N/A</v>
      </c>
      <c r="K53" s="6" t="e" cm="1">
        <f t="array" ref="K53">_xlfn.LET(_xlpm.v,INDEX(K$3:K$39,MATCH($A53,$A$3:$A$39,0)),IF(ISBLANK(_xlpm.v),NA(),_xlpm.v))</f>
        <v>#N/A</v>
      </c>
      <c r="L53" s="6" t="e" cm="1">
        <f t="array" ref="L53">_xlfn.LET(_xlpm.v,INDEX(L$3:L$39,MATCH($A53,$A$3:$A$39,0)),IF(ISBLANK(_xlpm.v),NA(),_xlpm.v))</f>
        <v>#N/A</v>
      </c>
      <c r="M53" s="6" t="e" cm="1">
        <f t="array" ref="M53">_xlfn.LET(_xlpm.v,INDEX(M$3:M$39,MATCH($A53,$A$3:$A$39,0)),IF(ISBLANK(_xlpm.v),NA(),_xlpm.v))</f>
        <v>#N/A</v>
      </c>
      <c r="N53" s="6" t="e" cm="1">
        <f t="array" ref="N53">_xlfn.LET(_xlpm.v,INDEX(N$3:N$39,MATCH($A53,$A$3:$A$39,0)),IF(ISBLANK(_xlpm.v),NA(),_xlpm.v))</f>
        <v>#N/A</v>
      </c>
    </row>
    <row r="54" spans="1:14" x14ac:dyDescent="0.4">
      <c r="A54" s="5">
        <v>-35</v>
      </c>
      <c r="B54" s="6" cm="1">
        <f t="array" ref="B54">_xlfn.LET(_xlpm.v,INDEX(B$3:B$39,MATCH($A54,$A$3:$A$39,0)),IF(ISBLANK(_xlpm.v),NA(),_xlpm.v))</f>
        <v>145</v>
      </c>
      <c r="C54" s="6" cm="1">
        <f t="array" ref="C54">_xlfn.LET(_xlpm.v,INDEX(C$3:C$39,MATCH($A54,$A$3:$A$39,0)),IF(ISBLANK(_xlpm.v),NA(),_xlpm.v))</f>
        <v>120</v>
      </c>
      <c r="D54" s="6" cm="1">
        <f t="array" ref="D54">_xlfn.LET(_xlpm.v,INDEX(D$3:D$39,MATCH($A54,$A$3:$A$39,0)),IF(ISBLANK(_xlpm.v),NA(),_xlpm.v))</f>
        <v>120</v>
      </c>
      <c r="E54" s="6" cm="1">
        <f t="array" ref="E54">_xlfn.LET(_xlpm.v,INDEX(E$3:E$39,MATCH($A54,$A$3:$A$39,0)),IF(ISBLANK(_xlpm.v),NA(),_xlpm.v))</f>
        <v>123</v>
      </c>
      <c r="F54" s="6" cm="1">
        <f t="array" ref="F54">_xlfn.LET(_xlpm.v,INDEX(F$3:F$39,MATCH($A54,$A$3:$A$39,0)),IF(ISBLANK(_xlpm.v),NA(),_xlpm.v))</f>
        <v>127</v>
      </c>
      <c r="G54" s="6" t="e" cm="1">
        <f t="array" ref="G54">_xlfn.LET(_xlpm.v,INDEX(G$3:G$39,MATCH($A54,$A$3:$A$39,0)),IF(ISBLANK(_xlpm.v),NA(),_xlpm.v))</f>
        <v>#N/A</v>
      </c>
      <c r="H54" s="6" t="e" cm="1">
        <f t="array" ref="H54">_xlfn.LET(_xlpm.v,INDEX(H$3:H$39,MATCH($A54,$A$3:$A$39,0)),IF(ISBLANK(_xlpm.v),NA(),_xlpm.v))</f>
        <v>#N/A</v>
      </c>
      <c r="I54" s="6" t="e" cm="1">
        <f t="array" ref="I54">_xlfn.LET(_xlpm.v,INDEX(I$3:I$39,MATCH($A54,$A$3:$A$39,0)),IF(ISBLANK(_xlpm.v),NA(),_xlpm.v))</f>
        <v>#N/A</v>
      </c>
      <c r="J54" s="6" t="e" cm="1">
        <f t="array" ref="J54">_xlfn.LET(_xlpm.v,INDEX(J$3:J$39,MATCH($A54,$A$3:$A$39,0)),IF(ISBLANK(_xlpm.v),NA(),_xlpm.v))</f>
        <v>#N/A</v>
      </c>
      <c r="K54" s="6" t="e" cm="1">
        <f t="array" ref="K54">_xlfn.LET(_xlpm.v,INDEX(K$3:K$39,MATCH($A54,$A$3:$A$39,0)),IF(ISBLANK(_xlpm.v),NA(),_xlpm.v))</f>
        <v>#N/A</v>
      </c>
      <c r="L54" s="6" t="e" cm="1">
        <f t="array" ref="L54">_xlfn.LET(_xlpm.v,INDEX(L$3:L$39,MATCH($A54,$A$3:$A$39,0)),IF(ISBLANK(_xlpm.v),NA(),_xlpm.v))</f>
        <v>#N/A</v>
      </c>
      <c r="M54" s="6" t="e" cm="1">
        <f t="array" ref="M54">_xlfn.LET(_xlpm.v,INDEX(M$3:M$39,MATCH($A54,$A$3:$A$39,0)),IF(ISBLANK(_xlpm.v),NA(),_xlpm.v))</f>
        <v>#N/A</v>
      </c>
      <c r="N54" s="6" t="e" cm="1">
        <f t="array" ref="N54">_xlfn.LET(_xlpm.v,INDEX(N$3:N$39,MATCH($A54,$A$3:$A$39,0)),IF(ISBLANK(_xlpm.v),NA(),_xlpm.v))</f>
        <v>#N/A</v>
      </c>
    </row>
    <row r="55" spans="1:14" x14ac:dyDescent="0.4">
      <c r="A55" s="5">
        <v>-30</v>
      </c>
      <c r="B55" s="6" cm="1">
        <f t="array" ref="B55">_xlfn.LET(_xlpm.v,INDEX(B$3:B$39,MATCH($A55,$A$3:$A$39,0)),IF(ISBLANK(_xlpm.v),NA(),_xlpm.v))</f>
        <v>173.3</v>
      </c>
      <c r="C55" s="6" cm="1">
        <f t="array" ref="C55">_xlfn.LET(_xlpm.v,INDEX(C$3:C$39,MATCH($A55,$A$3:$A$39,0)),IF(ISBLANK(_xlpm.v),NA(),_xlpm.v))</f>
        <v>128</v>
      </c>
      <c r="D55" s="6" cm="1">
        <f t="array" ref="D55">_xlfn.LET(_xlpm.v,INDEX(D$3:D$39,MATCH($A55,$A$3:$A$39,0)),IF(ISBLANK(_xlpm.v),NA(),_xlpm.v))</f>
        <v>113</v>
      </c>
      <c r="E55" s="6" cm="1">
        <f t="array" ref="E55">_xlfn.LET(_xlpm.v,INDEX(E$3:E$39,MATCH($A55,$A$3:$A$39,0)),IF(ISBLANK(_xlpm.v),NA(),_xlpm.v))</f>
        <v>109</v>
      </c>
      <c r="F55" s="6" cm="1">
        <f t="array" ref="F55">_xlfn.LET(_xlpm.v,INDEX(F$3:F$39,MATCH($A55,$A$3:$A$39,0)),IF(ISBLANK(_xlpm.v),NA(),_xlpm.v))</f>
        <v>109</v>
      </c>
      <c r="G55" s="6" t="e" cm="1">
        <f t="array" ref="G55">_xlfn.LET(_xlpm.v,INDEX(G$3:G$39,MATCH($A55,$A$3:$A$39,0)),IF(ISBLANK(_xlpm.v),NA(),_xlpm.v))</f>
        <v>#N/A</v>
      </c>
      <c r="H55" s="6" t="e" cm="1">
        <f t="array" ref="H55">_xlfn.LET(_xlpm.v,INDEX(H$3:H$39,MATCH($A55,$A$3:$A$39,0)),IF(ISBLANK(_xlpm.v),NA(),_xlpm.v))</f>
        <v>#N/A</v>
      </c>
      <c r="I55" s="6" t="e" cm="1">
        <f t="array" ref="I55">_xlfn.LET(_xlpm.v,INDEX(I$3:I$39,MATCH($A55,$A$3:$A$39,0)),IF(ISBLANK(_xlpm.v),NA(),_xlpm.v))</f>
        <v>#N/A</v>
      </c>
      <c r="J55" s="6" t="e" cm="1">
        <f t="array" ref="J55">_xlfn.LET(_xlpm.v,INDEX(J$3:J$39,MATCH($A55,$A$3:$A$39,0)),IF(ISBLANK(_xlpm.v),NA(),_xlpm.v))</f>
        <v>#N/A</v>
      </c>
      <c r="K55" s="6" t="e" cm="1">
        <f t="array" ref="K55">_xlfn.LET(_xlpm.v,INDEX(K$3:K$39,MATCH($A55,$A$3:$A$39,0)),IF(ISBLANK(_xlpm.v),NA(),_xlpm.v))</f>
        <v>#N/A</v>
      </c>
      <c r="L55" s="6" t="e" cm="1">
        <f t="array" ref="L55">_xlfn.LET(_xlpm.v,INDEX(L$3:L$39,MATCH($A55,$A$3:$A$39,0)),IF(ISBLANK(_xlpm.v),NA(),_xlpm.v))</f>
        <v>#N/A</v>
      </c>
      <c r="M55" s="6" t="e" cm="1">
        <f t="array" ref="M55">_xlfn.LET(_xlpm.v,INDEX(M$3:M$39,MATCH($A55,$A$3:$A$39,0)),IF(ISBLANK(_xlpm.v),NA(),_xlpm.v))</f>
        <v>#N/A</v>
      </c>
      <c r="N55" s="6" t="e" cm="1">
        <f t="array" ref="N55">_xlfn.LET(_xlpm.v,INDEX(N$3:N$39,MATCH($A55,$A$3:$A$39,0)),IF(ISBLANK(_xlpm.v),NA(),_xlpm.v))</f>
        <v>#N/A</v>
      </c>
    </row>
    <row r="56" spans="1:14" x14ac:dyDescent="0.4">
      <c r="A56" s="5">
        <v>-25</v>
      </c>
      <c r="B56" s="6" cm="1">
        <f t="array" ref="B56">_xlfn.LET(_xlpm.v,INDEX(B$3:B$39,MATCH($A56,$A$3:$A$39,0)),IF(ISBLANK(_xlpm.v),NA(),_xlpm.v))</f>
        <v>227.4</v>
      </c>
      <c r="C56" s="6" cm="1">
        <f t="array" ref="C56">_xlfn.LET(_xlpm.v,INDEX(C$3:C$39,MATCH($A56,$A$3:$A$39,0)),IF(ISBLANK(_xlpm.v),NA(),_xlpm.v))</f>
        <v>151</v>
      </c>
      <c r="D56" s="6" cm="1">
        <f t="array" ref="D56">_xlfn.LET(_xlpm.v,INDEX(D$3:D$39,MATCH($A56,$A$3:$A$39,0)),IF(ISBLANK(_xlpm.v),NA(),_xlpm.v))</f>
        <v>122</v>
      </c>
      <c r="E56" s="6" cm="1">
        <f t="array" ref="E56">_xlfn.LET(_xlpm.v,INDEX(E$3:E$39,MATCH($A56,$A$3:$A$39,0)),IF(ISBLANK(_xlpm.v),NA(),_xlpm.v))</f>
        <v>110</v>
      </c>
      <c r="F56" s="6" cm="1">
        <f t="array" ref="F56">_xlfn.LET(_xlpm.v,INDEX(F$3:F$39,MATCH($A56,$A$3:$A$39,0)),IF(ISBLANK(_xlpm.v),NA(),_xlpm.v))</f>
        <v>105</v>
      </c>
      <c r="G56" s="6" t="e" cm="1">
        <f t="array" ref="G56">_xlfn.LET(_xlpm.v,INDEX(G$3:G$39,MATCH($A56,$A$3:$A$39,0)),IF(ISBLANK(_xlpm.v),NA(),_xlpm.v))</f>
        <v>#N/A</v>
      </c>
      <c r="H56" s="6" t="e" cm="1">
        <f t="array" ref="H56">_xlfn.LET(_xlpm.v,INDEX(H$3:H$39,MATCH($A56,$A$3:$A$39,0)),IF(ISBLANK(_xlpm.v),NA(),_xlpm.v))</f>
        <v>#N/A</v>
      </c>
      <c r="I56" s="6" t="e" cm="1">
        <f t="array" ref="I56">_xlfn.LET(_xlpm.v,INDEX(I$3:I$39,MATCH($A56,$A$3:$A$39,0)),IF(ISBLANK(_xlpm.v),NA(),_xlpm.v))</f>
        <v>#N/A</v>
      </c>
      <c r="J56" s="6" t="e" cm="1">
        <f t="array" ref="J56">_xlfn.LET(_xlpm.v,INDEX(J$3:J$39,MATCH($A56,$A$3:$A$39,0)),IF(ISBLANK(_xlpm.v),NA(),_xlpm.v))</f>
        <v>#N/A</v>
      </c>
      <c r="K56" s="6" t="e" cm="1">
        <f t="array" ref="K56">_xlfn.LET(_xlpm.v,INDEX(K$3:K$39,MATCH($A56,$A$3:$A$39,0)),IF(ISBLANK(_xlpm.v),NA(),_xlpm.v))</f>
        <v>#N/A</v>
      </c>
      <c r="L56" s="6" t="e" cm="1">
        <f t="array" ref="L56">_xlfn.LET(_xlpm.v,INDEX(L$3:L$39,MATCH($A56,$A$3:$A$39,0)),IF(ISBLANK(_xlpm.v),NA(),_xlpm.v))</f>
        <v>#N/A</v>
      </c>
      <c r="M56" s="6" t="e" cm="1">
        <f t="array" ref="M56">_xlfn.LET(_xlpm.v,INDEX(M$3:M$39,MATCH($A56,$A$3:$A$39,0)),IF(ISBLANK(_xlpm.v),NA(),_xlpm.v))</f>
        <v>#N/A</v>
      </c>
      <c r="N56" s="6" t="e" cm="1">
        <f t="array" ref="N56">_xlfn.LET(_xlpm.v,INDEX(N$3:N$39,MATCH($A56,$A$3:$A$39,0)),IF(ISBLANK(_xlpm.v),NA(),_xlpm.v))</f>
        <v>#N/A</v>
      </c>
    </row>
    <row r="57" spans="1:14" x14ac:dyDescent="0.4">
      <c r="A57" s="5">
        <v>-20</v>
      </c>
      <c r="B57" s="6" cm="1">
        <f t="array" ref="B57">_xlfn.LET(_xlpm.v,INDEX(B$3:B$39,MATCH($A57,$A$3:$A$39,0)),IF(ISBLANK(_xlpm.v),NA(),_xlpm.v))</f>
        <v>294.7</v>
      </c>
      <c r="C57" s="6" cm="1">
        <f t="array" ref="C57">_xlfn.LET(_xlpm.v,INDEX(C$3:C$39,MATCH($A57,$A$3:$A$39,0)),IF(ISBLANK(_xlpm.v),NA(),_xlpm.v))</f>
        <v>196</v>
      </c>
      <c r="D57" s="6" cm="1">
        <f t="array" ref="D57">_xlfn.LET(_xlpm.v,INDEX(D$3:D$39,MATCH($A57,$A$3:$A$39,0)),IF(ISBLANK(_xlpm.v),NA(),_xlpm.v))</f>
        <v>147</v>
      </c>
      <c r="E57" s="6" cm="1">
        <f t="array" ref="E57">_xlfn.LET(_xlpm.v,INDEX(E$3:E$39,MATCH($A57,$A$3:$A$39,0)),IF(ISBLANK(_xlpm.v),NA(),_xlpm.v))</f>
        <v>125</v>
      </c>
      <c r="F57" s="6" cm="1">
        <f t="array" ref="F57">_xlfn.LET(_xlpm.v,INDEX(F$3:F$39,MATCH($A57,$A$3:$A$39,0)),IF(ISBLANK(_xlpm.v),NA(),_xlpm.v))</f>
        <v>115</v>
      </c>
      <c r="G57" s="6" t="e" cm="1">
        <f t="array" ref="G57">_xlfn.LET(_xlpm.v,INDEX(G$3:G$39,MATCH($A57,$A$3:$A$39,0)),IF(ISBLANK(_xlpm.v),NA(),_xlpm.v))</f>
        <v>#N/A</v>
      </c>
      <c r="H57" s="6" t="e" cm="1">
        <f t="array" ref="H57">_xlfn.LET(_xlpm.v,INDEX(H$3:H$39,MATCH($A57,$A$3:$A$39,0)),IF(ISBLANK(_xlpm.v),NA(),_xlpm.v))</f>
        <v>#N/A</v>
      </c>
      <c r="I57" s="6" t="e" cm="1">
        <f t="array" ref="I57">_xlfn.LET(_xlpm.v,INDEX(I$3:I$39,MATCH($A57,$A$3:$A$39,0)),IF(ISBLANK(_xlpm.v),NA(),_xlpm.v))</f>
        <v>#N/A</v>
      </c>
      <c r="J57" s="6" t="e" cm="1">
        <f t="array" ref="J57">_xlfn.LET(_xlpm.v,INDEX(J$3:J$39,MATCH($A57,$A$3:$A$39,0)),IF(ISBLANK(_xlpm.v),NA(),_xlpm.v))</f>
        <v>#N/A</v>
      </c>
      <c r="K57" s="6" t="e" cm="1">
        <f t="array" ref="K57">_xlfn.LET(_xlpm.v,INDEX(K$3:K$39,MATCH($A57,$A$3:$A$39,0)),IF(ISBLANK(_xlpm.v),NA(),_xlpm.v))</f>
        <v>#N/A</v>
      </c>
      <c r="L57" s="6" t="e" cm="1">
        <f t="array" ref="L57">_xlfn.LET(_xlpm.v,INDEX(L$3:L$39,MATCH($A57,$A$3:$A$39,0)),IF(ISBLANK(_xlpm.v),NA(),_xlpm.v))</f>
        <v>#N/A</v>
      </c>
      <c r="M57" s="6" t="e" cm="1">
        <f t="array" ref="M57">_xlfn.LET(_xlpm.v,INDEX(M$3:M$39,MATCH($A57,$A$3:$A$39,0)),IF(ISBLANK(_xlpm.v),NA(),_xlpm.v))</f>
        <v>#N/A</v>
      </c>
      <c r="N57" s="6" t="e" cm="1">
        <f t="array" ref="N57">_xlfn.LET(_xlpm.v,INDEX(N$3:N$39,MATCH($A57,$A$3:$A$39,0)),IF(ISBLANK(_xlpm.v),NA(),_xlpm.v))</f>
        <v>#N/A</v>
      </c>
    </row>
    <row r="58" spans="1:14" x14ac:dyDescent="0.4">
      <c r="A58" s="5">
        <v>-15</v>
      </c>
      <c r="B58" s="6" cm="1">
        <f t="array" ref="B58">_xlfn.LET(_xlpm.v,INDEX(B$3:B$39,MATCH($A58,$A$3:$A$39,0)),IF(ISBLANK(_xlpm.v),NA(),_xlpm.v))</f>
        <v>368</v>
      </c>
      <c r="C58" s="6" cm="1">
        <f t="array" ref="C58">_xlfn.LET(_xlpm.v,INDEX(C$3:C$39,MATCH($A58,$A$3:$A$39,0)),IF(ISBLANK(_xlpm.v),NA(),_xlpm.v))</f>
        <v>246</v>
      </c>
      <c r="D58" s="6" cm="1">
        <f t="array" ref="D58">_xlfn.LET(_xlpm.v,INDEX(D$3:D$39,MATCH($A58,$A$3:$A$39,0)),IF(ISBLANK(_xlpm.v),NA(),_xlpm.v))</f>
        <v>186</v>
      </c>
      <c r="E58" s="6" cm="1">
        <f t="array" ref="E58">_xlfn.LET(_xlpm.v,INDEX(E$3:E$39,MATCH($A58,$A$3:$A$39,0)),IF(ISBLANK(_xlpm.v),NA(),_xlpm.v))</f>
        <v>157</v>
      </c>
      <c r="F58" s="6" cm="1">
        <f t="array" ref="F58">_xlfn.LET(_xlpm.v,INDEX(F$3:F$39,MATCH($A58,$A$3:$A$39,0)),IF(ISBLANK(_xlpm.v),NA(),_xlpm.v))</f>
        <v>140</v>
      </c>
      <c r="G58" s="6" t="e" cm="1">
        <f t="array" ref="G58">_xlfn.LET(_xlpm.v,INDEX(G$3:G$39,MATCH($A58,$A$3:$A$39,0)),IF(ISBLANK(_xlpm.v),NA(),_xlpm.v))</f>
        <v>#N/A</v>
      </c>
      <c r="H58" s="6" t="e" cm="1">
        <f t="array" ref="H58">_xlfn.LET(_xlpm.v,INDEX(H$3:H$39,MATCH($A58,$A$3:$A$39,0)),IF(ISBLANK(_xlpm.v),NA(),_xlpm.v))</f>
        <v>#N/A</v>
      </c>
      <c r="I58" s="6" t="e" cm="1">
        <f t="array" ref="I58">_xlfn.LET(_xlpm.v,INDEX(I$3:I$39,MATCH($A58,$A$3:$A$39,0)),IF(ISBLANK(_xlpm.v),NA(),_xlpm.v))</f>
        <v>#N/A</v>
      </c>
      <c r="J58" s="6" t="e" cm="1">
        <f t="array" ref="J58">_xlfn.LET(_xlpm.v,INDEX(J$3:J$39,MATCH($A58,$A$3:$A$39,0)),IF(ISBLANK(_xlpm.v),NA(),_xlpm.v))</f>
        <v>#N/A</v>
      </c>
      <c r="K58" s="6" t="e" cm="1">
        <f t="array" ref="K58">_xlfn.LET(_xlpm.v,INDEX(K$3:K$39,MATCH($A58,$A$3:$A$39,0)),IF(ISBLANK(_xlpm.v),NA(),_xlpm.v))</f>
        <v>#N/A</v>
      </c>
      <c r="L58" s="6" t="e" cm="1">
        <f t="array" ref="L58">_xlfn.LET(_xlpm.v,INDEX(L$3:L$39,MATCH($A58,$A$3:$A$39,0)),IF(ISBLANK(_xlpm.v),NA(),_xlpm.v))</f>
        <v>#N/A</v>
      </c>
      <c r="M58" s="6" t="e" cm="1">
        <f t="array" ref="M58">_xlfn.LET(_xlpm.v,INDEX(M$3:M$39,MATCH($A58,$A$3:$A$39,0)),IF(ISBLANK(_xlpm.v),NA(),_xlpm.v))</f>
        <v>#N/A</v>
      </c>
      <c r="N58" s="6" t="e" cm="1">
        <f t="array" ref="N58">_xlfn.LET(_xlpm.v,INDEX(N$3:N$39,MATCH($A58,$A$3:$A$39,0)),IF(ISBLANK(_xlpm.v),NA(),_xlpm.v))</f>
        <v>#N/A</v>
      </c>
    </row>
    <row r="59" spans="1:14" x14ac:dyDescent="0.4">
      <c r="A59" s="5">
        <v>-10</v>
      </c>
      <c r="B59" s="6" cm="1">
        <f t="array" ref="B59">_xlfn.LET(_xlpm.v,INDEX(B$3:B$39,MATCH($A59,$A$3:$A$39,0)),IF(ISBLANK(_xlpm.v),NA(),_xlpm.v))</f>
        <v>466</v>
      </c>
      <c r="C59" s="6" cm="1">
        <f t="array" ref="C59">_xlfn.LET(_xlpm.v,INDEX(C$3:C$39,MATCH($A59,$A$3:$A$39,0)),IF(ISBLANK(_xlpm.v),NA(),_xlpm.v))</f>
        <v>323</v>
      </c>
      <c r="D59" s="6" cm="1">
        <f t="array" ref="D59">_xlfn.LET(_xlpm.v,INDEX(D$3:D$39,MATCH($A59,$A$3:$A$39,0)),IF(ISBLANK(_xlpm.v),NA(),_xlpm.v))</f>
        <v>240</v>
      </c>
      <c r="E59" s="6" cm="1">
        <f t="array" ref="E59">_xlfn.LET(_xlpm.v,INDEX(E$3:E$39,MATCH($A59,$A$3:$A$39,0)),IF(ISBLANK(_xlpm.v),NA(),_xlpm.v))</f>
        <v>198</v>
      </c>
      <c r="F59" s="6" cm="1">
        <f t="array" ref="F59">_xlfn.LET(_xlpm.v,INDEX(F$3:F$39,MATCH($A59,$A$3:$A$39,0)),IF(ISBLANK(_xlpm.v),NA(),_xlpm.v))</f>
        <v>182</v>
      </c>
      <c r="G59" s="6" t="e" cm="1">
        <f t="array" ref="G59">_xlfn.LET(_xlpm.v,INDEX(G$3:G$39,MATCH($A59,$A$3:$A$39,0)),IF(ISBLANK(_xlpm.v),NA(),_xlpm.v))</f>
        <v>#N/A</v>
      </c>
      <c r="H59" s="6" t="e" cm="1">
        <f t="array" ref="H59">_xlfn.LET(_xlpm.v,INDEX(H$3:H$39,MATCH($A59,$A$3:$A$39,0)),IF(ISBLANK(_xlpm.v),NA(),_xlpm.v))</f>
        <v>#N/A</v>
      </c>
      <c r="I59" s="6" t="e" cm="1">
        <f t="array" ref="I59">_xlfn.LET(_xlpm.v,INDEX(I$3:I$39,MATCH($A59,$A$3:$A$39,0)),IF(ISBLANK(_xlpm.v),NA(),_xlpm.v))</f>
        <v>#N/A</v>
      </c>
      <c r="J59" s="6" t="e" cm="1">
        <f t="array" ref="J59">_xlfn.LET(_xlpm.v,INDEX(J$3:J$39,MATCH($A59,$A$3:$A$39,0)),IF(ISBLANK(_xlpm.v),NA(),_xlpm.v))</f>
        <v>#N/A</v>
      </c>
      <c r="K59" s="6" t="e" cm="1">
        <f t="array" ref="K59">_xlfn.LET(_xlpm.v,INDEX(K$3:K$39,MATCH($A59,$A$3:$A$39,0)),IF(ISBLANK(_xlpm.v),NA(),_xlpm.v))</f>
        <v>#N/A</v>
      </c>
      <c r="L59" s="6" t="e" cm="1">
        <f t="array" ref="L59">_xlfn.LET(_xlpm.v,INDEX(L$3:L$39,MATCH($A59,$A$3:$A$39,0)),IF(ISBLANK(_xlpm.v),NA(),_xlpm.v))</f>
        <v>#N/A</v>
      </c>
      <c r="M59" s="6" t="e" cm="1">
        <f t="array" ref="M59">_xlfn.LET(_xlpm.v,INDEX(M$3:M$39,MATCH($A59,$A$3:$A$39,0)),IF(ISBLANK(_xlpm.v),NA(),_xlpm.v))</f>
        <v>#N/A</v>
      </c>
      <c r="N59" s="6" t="e" cm="1">
        <f t="array" ref="N59">_xlfn.LET(_xlpm.v,INDEX(N$3:N$39,MATCH($A59,$A$3:$A$39,0)),IF(ISBLANK(_xlpm.v),NA(),_xlpm.v))</f>
        <v>#N/A</v>
      </c>
    </row>
    <row r="60" spans="1:14" x14ac:dyDescent="0.4">
      <c r="A60" s="5">
        <v>-5</v>
      </c>
      <c r="B60" s="6" cm="1">
        <f t="array" ref="B60">_xlfn.LET(_xlpm.v,INDEX(B$3:B$39,MATCH($A60,$A$3:$A$39,0)),IF(ISBLANK(_xlpm.v),NA(),_xlpm.v))</f>
        <v>557</v>
      </c>
      <c r="C60" s="6" cm="1">
        <f t="array" ref="C60">_xlfn.LET(_xlpm.v,INDEX(C$3:C$39,MATCH($A60,$A$3:$A$39,0)),IF(ISBLANK(_xlpm.v),NA(),_xlpm.v))</f>
        <v>257</v>
      </c>
      <c r="D60" s="6" cm="1">
        <f t="array" ref="D60">_xlfn.LET(_xlpm.v,INDEX(D$3:D$39,MATCH($A60,$A$3:$A$39,0)),IF(ISBLANK(_xlpm.v),NA(),_xlpm.v))</f>
        <v>307</v>
      </c>
      <c r="E60" s="6" cm="1">
        <f t="array" ref="E60">_xlfn.LET(_xlpm.v,INDEX(E$3:E$39,MATCH($A60,$A$3:$A$39,0)),IF(ISBLANK(_xlpm.v),NA(),_xlpm.v))</f>
        <v>255</v>
      </c>
      <c r="F60" s="6" cm="1">
        <f t="array" ref="F60">_xlfn.LET(_xlpm.v,INDEX(F$3:F$39,MATCH($A60,$A$3:$A$39,0)),IF(ISBLANK(_xlpm.v),NA(),_xlpm.v))</f>
        <v>229</v>
      </c>
      <c r="G60" s="6" t="e" cm="1">
        <f t="array" ref="G60">_xlfn.LET(_xlpm.v,INDEX(G$3:G$39,MATCH($A60,$A$3:$A$39,0)),IF(ISBLANK(_xlpm.v),NA(),_xlpm.v))</f>
        <v>#N/A</v>
      </c>
      <c r="H60" s="6" t="e" cm="1">
        <f t="array" ref="H60">_xlfn.LET(_xlpm.v,INDEX(H$3:H$39,MATCH($A60,$A$3:$A$39,0)),IF(ISBLANK(_xlpm.v),NA(),_xlpm.v))</f>
        <v>#N/A</v>
      </c>
      <c r="I60" s="6" t="e" cm="1">
        <f t="array" ref="I60">_xlfn.LET(_xlpm.v,INDEX(I$3:I$39,MATCH($A60,$A$3:$A$39,0)),IF(ISBLANK(_xlpm.v),NA(),_xlpm.v))</f>
        <v>#N/A</v>
      </c>
      <c r="J60" s="6" t="e" cm="1">
        <f t="array" ref="J60">_xlfn.LET(_xlpm.v,INDEX(J$3:J$39,MATCH($A60,$A$3:$A$39,0)),IF(ISBLANK(_xlpm.v),NA(),_xlpm.v))</f>
        <v>#N/A</v>
      </c>
      <c r="K60" s="6" t="e" cm="1">
        <f t="array" ref="K60">_xlfn.LET(_xlpm.v,INDEX(K$3:K$39,MATCH($A60,$A$3:$A$39,0)),IF(ISBLANK(_xlpm.v),NA(),_xlpm.v))</f>
        <v>#N/A</v>
      </c>
      <c r="L60" s="6" t="e" cm="1">
        <f t="array" ref="L60">_xlfn.LET(_xlpm.v,INDEX(L$3:L$39,MATCH($A60,$A$3:$A$39,0)),IF(ISBLANK(_xlpm.v),NA(),_xlpm.v))</f>
        <v>#N/A</v>
      </c>
      <c r="M60" s="6" t="e" cm="1">
        <f t="array" ref="M60">_xlfn.LET(_xlpm.v,INDEX(M$3:M$39,MATCH($A60,$A$3:$A$39,0)),IF(ISBLANK(_xlpm.v),NA(),_xlpm.v))</f>
        <v>#N/A</v>
      </c>
      <c r="N60" s="6" t="e" cm="1">
        <f t="array" ref="N60">_xlfn.LET(_xlpm.v,INDEX(N$3:N$39,MATCH($A60,$A$3:$A$39,0)),IF(ISBLANK(_xlpm.v),NA(),_xlpm.v))</f>
        <v>#N/A</v>
      </c>
    </row>
    <row r="61" spans="1:14" x14ac:dyDescent="0.4">
      <c r="A61" s="5">
        <v>0</v>
      </c>
      <c r="B61" s="6" cm="1">
        <f t="array" ref="B61">_xlfn.LET(_xlpm.v,INDEX(B$3:B$39,MATCH($A61,$A$3:$A$39,0)),IF(ISBLANK(_xlpm.v),NA(),_xlpm.v))</f>
        <v>657</v>
      </c>
      <c r="C61" s="6" cm="1">
        <f t="array" ref="C61">_xlfn.LET(_xlpm.v,INDEX(C$3:C$39,MATCH($A61,$A$3:$A$39,0)),IF(ISBLANK(_xlpm.v),NA(),_xlpm.v))</f>
        <v>486</v>
      </c>
      <c r="D61" s="6" cm="1">
        <f t="array" ref="D61">_xlfn.LET(_xlpm.v,INDEX(D$3:D$39,MATCH($A61,$A$3:$A$39,0)),IF(ISBLANK(_xlpm.v),NA(),_xlpm.v))</f>
        <v>380</v>
      </c>
      <c r="E61" s="6" cm="1">
        <f t="array" ref="E61">_xlfn.LET(_xlpm.v,INDEX(E$3:E$39,MATCH($A61,$A$3:$A$39,0)),IF(ISBLANK(_xlpm.v),NA(),_xlpm.v))</f>
        <v>321</v>
      </c>
      <c r="F61" s="6" cm="1">
        <f t="array" ref="F61">_xlfn.LET(_xlpm.v,INDEX(F$3:F$39,MATCH($A61,$A$3:$A$39,0)),IF(ISBLANK(_xlpm.v),NA(),_xlpm.v))</f>
        <v>289</v>
      </c>
      <c r="G61" s="6" t="e" cm="1">
        <f t="array" ref="G61">_xlfn.LET(_xlpm.v,INDEX(G$3:G$39,MATCH($A61,$A$3:$A$39,0)),IF(ISBLANK(_xlpm.v),NA(),_xlpm.v))</f>
        <v>#N/A</v>
      </c>
      <c r="H61" s="6" t="e" cm="1">
        <f t="array" ref="H61">_xlfn.LET(_xlpm.v,INDEX(H$3:H$39,MATCH($A61,$A$3:$A$39,0)),IF(ISBLANK(_xlpm.v),NA(),_xlpm.v))</f>
        <v>#N/A</v>
      </c>
      <c r="I61" s="6" t="e" cm="1">
        <f t="array" ref="I61">_xlfn.LET(_xlpm.v,INDEX(I$3:I$39,MATCH($A61,$A$3:$A$39,0)),IF(ISBLANK(_xlpm.v),NA(),_xlpm.v))</f>
        <v>#N/A</v>
      </c>
      <c r="J61" s="6" t="e" cm="1">
        <f t="array" ref="J61">_xlfn.LET(_xlpm.v,INDEX(J$3:J$39,MATCH($A61,$A$3:$A$39,0)),IF(ISBLANK(_xlpm.v),NA(),_xlpm.v))</f>
        <v>#N/A</v>
      </c>
      <c r="K61" s="6" t="e" cm="1">
        <f t="array" ref="K61">_xlfn.LET(_xlpm.v,INDEX(K$3:K$39,MATCH($A61,$A$3:$A$39,0)),IF(ISBLANK(_xlpm.v),NA(),_xlpm.v))</f>
        <v>#N/A</v>
      </c>
      <c r="L61" s="6" t="e" cm="1">
        <f t="array" ref="L61">_xlfn.LET(_xlpm.v,INDEX(L$3:L$39,MATCH($A61,$A$3:$A$39,0)),IF(ISBLANK(_xlpm.v),NA(),_xlpm.v))</f>
        <v>#N/A</v>
      </c>
      <c r="M61" s="6" t="e" cm="1">
        <f t="array" ref="M61">_xlfn.LET(_xlpm.v,INDEX(M$3:M$39,MATCH($A61,$A$3:$A$39,0)),IF(ISBLANK(_xlpm.v),NA(),_xlpm.v))</f>
        <v>#N/A</v>
      </c>
      <c r="N61" s="6" t="e" cm="1">
        <f t="array" ref="N61">_xlfn.LET(_xlpm.v,INDEX(N$3:N$39,MATCH($A61,$A$3:$A$39,0)),IF(ISBLANK(_xlpm.v),NA(),_xlpm.v))</f>
        <v>#N/A</v>
      </c>
    </row>
    <row r="62" spans="1:14" x14ac:dyDescent="0.4">
      <c r="A62" s="5">
        <v>5</v>
      </c>
      <c r="B62" s="6" cm="1">
        <f t="array" ref="B62">_xlfn.LET(_xlpm.v,INDEX(B$3:B$39,MATCH($A62,$A$3:$A$39,0)),IF(ISBLANK(_xlpm.v),NA(),_xlpm.v))</f>
        <v>754</v>
      </c>
      <c r="C62" s="6" cm="1">
        <f t="array" ref="C62">_xlfn.LET(_xlpm.v,INDEX(C$3:C$39,MATCH($A62,$A$3:$A$39,0)),IF(ISBLANK(_xlpm.v),NA(),_xlpm.v))</f>
        <v>580</v>
      </c>
      <c r="D62" s="6" cm="1">
        <f t="array" ref="D62">_xlfn.LET(_xlpm.v,INDEX(D$3:D$39,MATCH($A62,$A$3:$A$39,0)),IF(ISBLANK(_xlpm.v),NA(),_xlpm.v))</f>
        <v>467</v>
      </c>
      <c r="E62" s="6" cm="1">
        <f t="array" ref="E62">_xlfn.LET(_xlpm.v,INDEX(E$3:E$39,MATCH($A62,$A$3:$A$39,0)),IF(ISBLANK(_xlpm.v),NA(),_xlpm.v))</f>
        <v>399</v>
      </c>
      <c r="F62" s="6" cm="1">
        <f t="array" ref="F62">_xlfn.LET(_xlpm.v,INDEX(F$3:F$39,MATCH($A62,$A$3:$A$39,0)),IF(ISBLANK(_xlpm.v),NA(),_xlpm.v))</f>
        <v>358</v>
      </c>
      <c r="G62" s="6" t="e" cm="1">
        <f t="array" ref="G62">_xlfn.LET(_xlpm.v,INDEX(G$3:G$39,MATCH($A62,$A$3:$A$39,0)),IF(ISBLANK(_xlpm.v),NA(),_xlpm.v))</f>
        <v>#N/A</v>
      </c>
      <c r="H62" s="6" t="e" cm="1">
        <f t="array" ref="H62">_xlfn.LET(_xlpm.v,INDEX(H$3:H$39,MATCH($A62,$A$3:$A$39,0)),IF(ISBLANK(_xlpm.v),NA(),_xlpm.v))</f>
        <v>#N/A</v>
      </c>
      <c r="I62" s="6" t="e" cm="1">
        <f t="array" ref="I62">_xlfn.LET(_xlpm.v,INDEX(I$3:I$39,MATCH($A62,$A$3:$A$39,0)),IF(ISBLANK(_xlpm.v),NA(),_xlpm.v))</f>
        <v>#N/A</v>
      </c>
      <c r="J62" s="6" t="e" cm="1">
        <f t="array" ref="J62">_xlfn.LET(_xlpm.v,INDEX(J$3:J$39,MATCH($A62,$A$3:$A$39,0)),IF(ISBLANK(_xlpm.v),NA(),_xlpm.v))</f>
        <v>#N/A</v>
      </c>
      <c r="K62" s="6" t="e" cm="1">
        <f t="array" ref="K62">_xlfn.LET(_xlpm.v,INDEX(K$3:K$39,MATCH($A62,$A$3:$A$39,0)),IF(ISBLANK(_xlpm.v),NA(),_xlpm.v))</f>
        <v>#N/A</v>
      </c>
      <c r="L62" s="6" t="e" cm="1">
        <f t="array" ref="L62">_xlfn.LET(_xlpm.v,INDEX(L$3:L$39,MATCH($A62,$A$3:$A$39,0)),IF(ISBLANK(_xlpm.v),NA(),_xlpm.v))</f>
        <v>#N/A</v>
      </c>
      <c r="M62" s="6" t="e" cm="1">
        <f t="array" ref="M62">_xlfn.LET(_xlpm.v,INDEX(M$3:M$39,MATCH($A62,$A$3:$A$39,0)),IF(ISBLANK(_xlpm.v),NA(),_xlpm.v))</f>
        <v>#N/A</v>
      </c>
      <c r="N62" s="6" t="e" cm="1">
        <f t="array" ref="N62">_xlfn.LET(_xlpm.v,INDEX(N$3:N$39,MATCH($A62,$A$3:$A$39,0)),IF(ISBLANK(_xlpm.v),NA(),_xlpm.v))</f>
        <v>#N/A</v>
      </c>
    </row>
    <row r="63" spans="1:14" x14ac:dyDescent="0.4">
      <c r="A63" s="5">
        <v>10</v>
      </c>
      <c r="B63" s="6" cm="1">
        <f t="array" ref="B63">_xlfn.LET(_xlpm.v,INDEX(B$3:B$39,MATCH($A63,$A$3:$A$39,0)),IF(ISBLANK(_xlpm.v),NA(),_xlpm.v))</f>
        <v>847</v>
      </c>
      <c r="C63" s="6" cm="1">
        <f t="array" ref="C63">_xlfn.LET(_xlpm.v,INDEX(C$3:C$39,MATCH($A63,$A$3:$A$39,0)),IF(ISBLANK(_xlpm.v),NA(),_xlpm.v))</f>
        <v>676</v>
      </c>
      <c r="D63" s="6" cm="1">
        <f t="array" ref="D63">_xlfn.LET(_xlpm.v,INDEX(D$3:D$39,MATCH($A63,$A$3:$A$39,0)),IF(ISBLANK(_xlpm.v),NA(),_xlpm.v))</f>
        <v>549</v>
      </c>
      <c r="E63" s="6" cm="1">
        <f t="array" ref="E63">_xlfn.LET(_xlpm.v,INDEX(E$3:E$39,MATCH($A63,$A$3:$A$39,0)),IF(ISBLANK(_xlpm.v),NA(),_xlpm.v))</f>
        <v>482</v>
      </c>
      <c r="F63" s="6" cm="1">
        <f t="array" ref="F63">_xlfn.LET(_xlpm.v,INDEX(F$3:F$39,MATCH($A63,$A$3:$A$39,0)),IF(ISBLANK(_xlpm.v),NA(),_xlpm.v))</f>
        <v>430</v>
      </c>
      <c r="G63" s="6" t="e" cm="1">
        <f t="array" ref="G63">_xlfn.LET(_xlpm.v,INDEX(G$3:G$39,MATCH($A63,$A$3:$A$39,0)),IF(ISBLANK(_xlpm.v),NA(),_xlpm.v))</f>
        <v>#N/A</v>
      </c>
      <c r="H63" s="6" t="e" cm="1">
        <f t="array" ref="H63">_xlfn.LET(_xlpm.v,INDEX(H$3:H$39,MATCH($A63,$A$3:$A$39,0)),IF(ISBLANK(_xlpm.v),NA(),_xlpm.v))</f>
        <v>#N/A</v>
      </c>
      <c r="I63" s="6" t="e" cm="1">
        <f t="array" ref="I63">_xlfn.LET(_xlpm.v,INDEX(I$3:I$39,MATCH($A63,$A$3:$A$39,0)),IF(ISBLANK(_xlpm.v),NA(),_xlpm.v))</f>
        <v>#N/A</v>
      </c>
      <c r="J63" s="6" t="e" cm="1">
        <f t="array" ref="J63">_xlfn.LET(_xlpm.v,INDEX(J$3:J$39,MATCH($A63,$A$3:$A$39,0)),IF(ISBLANK(_xlpm.v),NA(),_xlpm.v))</f>
        <v>#N/A</v>
      </c>
      <c r="K63" s="6" t="e" cm="1">
        <f t="array" ref="K63">_xlfn.LET(_xlpm.v,INDEX(K$3:K$39,MATCH($A63,$A$3:$A$39,0)),IF(ISBLANK(_xlpm.v),NA(),_xlpm.v))</f>
        <v>#N/A</v>
      </c>
      <c r="L63" s="6" t="e" cm="1">
        <f t="array" ref="L63">_xlfn.LET(_xlpm.v,INDEX(L$3:L$39,MATCH($A63,$A$3:$A$39,0)),IF(ISBLANK(_xlpm.v),NA(),_xlpm.v))</f>
        <v>#N/A</v>
      </c>
      <c r="M63" s="6" t="e" cm="1">
        <f t="array" ref="M63">_xlfn.LET(_xlpm.v,INDEX(M$3:M$39,MATCH($A63,$A$3:$A$39,0)),IF(ISBLANK(_xlpm.v),NA(),_xlpm.v))</f>
        <v>#N/A</v>
      </c>
      <c r="N63" s="6" t="e" cm="1">
        <f t="array" ref="N63">_xlfn.LET(_xlpm.v,INDEX(N$3:N$39,MATCH($A63,$A$3:$A$39,0)),IF(ISBLANK(_xlpm.v),NA(),_xlpm.v))</f>
        <v>#N/A</v>
      </c>
    </row>
    <row r="64" spans="1:14" x14ac:dyDescent="0.4">
      <c r="A64" s="5">
        <v>15</v>
      </c>
      <c r="B64" s="6" cm="1">
        <f t="array" ref="B64">_xlfn.LET(_xlpm.v,INDEX(B$3:B$39,MATCH($A64,$A$3:$A$39,0)),IF(ISBLANK(_xlpm.v),NA(),_xlpm.v))</f>
        <v>943</v>
      </c>
      <c r="C64" s="6" cm="1">
        <f t="array" ref="C64">_xlfn.LET(_xlpm.v,INDEX(C$3:C$39,MATCH($A64,$A$3:$A$39,0)),IF(ISBLANK(_xlpm.v),NA(),_xlpm.v))</f>
        <v>768</v>
      </c>
      <c r="D64" s="6" cm="1">
        <f t="array" ref="D64">_xlfn.LET(_xlpm.v,INDEX(D$3:D$39,MATCH($A64,$A$3:$A$39,0)),IF(ISBLANK(_xlpm.v),NA(),_xlpm.v))</f>
        <v>639</v>
      </c>
      <c r="E64" s="6" cm="1">
        <f t="array" ref="E64">_xlfn.LET(_xlpm.v,INDEX(E$3:E$39,MATCH($A64,$A$3:$A$39,0)),IF(ISBLANK(_xlpm.v),NA(),_xlpm.v))</f>
        <v>557</v>
      </c>
      <c r="F64" s="6" cm="1">
        <f t="array" ref="F64">_xlfn.LET(_xlpm.v,INDEX(F$3:F$39,MATCH($A64,$A$3:$A$39,0)),IF(ISBLANK(_xlpm.v),NA(),_xlpm.v))</f>
        <v>516</v>
      </c>
      <c r="G64" s="6" t="e" cm="1">
        <f t="array" ref="G64">_xlfn.LET(_xlpm.v,INDEX(G$3:G$39,MATCH($A64,$A$3:$A$39,0)),IF(ISBLANK(_xlpm.v),NA(),_xlpm.v))</f>
        <v>#N/A</v>
      </c>
      <c r="H64" s="6" t="e" cm="1">
        <f t="array" ref="H64">_xlfn.LET(_xlpm.v,INDEX(H$3:H$39,MATCH($A64,$A$3:$A$39,0)),IF(ISBLANK(_xlpm.v),NA(),_xlpm.v))</f>
        <v>#N/A</v>
      </c>
      <c r="I64" s="6" t="e" cm="1">
        <f t="array" ref="I64">_xlfn.LET(_xlpm.v,INDEX(I$3:I$39,MATCH($A64,$A$3:$A$39,0)),IF(ISBLANK(_xlpm.v),NA(),_xlpm.v))</f>
        <v>#N/A</v>
      </c>
      <c r="J64" s="6" t="e" cm="1">
        <f t="array" ref="J64">_xlfn.LET(_xlpm.v,INDEX(J$3:J$39,MATCH($A64,$A$3:$A$39,0)),IF(ISBLANK(_xlpm.v),NA(),_xlpm.v))</f>
        <v>#N/A</v>
      </c>
      <c r="K64" s="6" t="e" cm="1">
        <f t="array" ref="K64">_xlfn.LET(_xlpm.v,INDEX(K$3:K$39,MATCH($A64,$A$3:$A$39,0)),IF(ISBLANK(_xlpm.v),NA(),_xlpm.v))</f>
        <v>#N/A</v>
      </c>
      <c r="L64" s="6" t="e" cm="1">
        <f t="array" ref="L64">_xlfn.LET(_xlpm.v,INDEX(L$3:L$39,MATCH($A64,$A$3:$A$39,0)),IF(ISBLANK(_xlpm.v),NA(),_xlpm.v))</f>
        <v>#N/A</v>
      </c>
      <c r="M64" s="6" t="e" cm="1">
        <f t="array" ref="M64">_xlfn.LET(_xlpm.v,INDEX(M$3:M$39,MATCH($A64,$A$3:$A$39,0)),IF(ISBLANK(_xlpm.v),NA(),_xlpm.v))</f>
        <v>#N/A</v>
      </c>
      <c r="N64" s="6" t="e" cm="1">
        <f t="array" ref="N64">_xlfn.LET(_xlpm.v,INDEX(N$3:N$39,MATCH($A64,$A$3:$A$39,0)),IF(ISBLANK(_xlpm.v),NA(),_xlpm.v))</f>
        <v>#N/A</v>
      </c>
    </row>
    <row r="65" spans="1:14" x14ac:dyDescent="0.4">
      <c r="A65" s="5">
        <v>20</v>
      </c>
      <c r="B65" s="6" cm="1">
        <f t="array" ref="B65">_xlfn.LET(_xlpm.v,INDEX(B$3:B$39,MATCH($A65,$A$3:$A$39,0)),IF(ISBLANK(_xlpm.v),NA(),_xlpm.v))</f>
        <v>1028</v>
      </c>
      <c r="C65" s="6" cm="1">
        <f t="array" ref="C65">_xlfn.LET(_xlpm.v,INDEX(C$3:C$39,MATCH($A65,$A$3:$A$39,0)),IF(ISBLANK(_xlpm.v),NA(),_xlpm.v))</f>
        <v>860</v>
      </c>
      <c r="D65" s="6" cm="1">
        <f t="array" ref="D65">_xlfn.LET(_xlpm.v,INDEX(D$3:D$39,MATCH($A65,$A$3:$A$39,0)),IF(ISBLANK(_xlpm.v),NA(),_xlpm.v))</f>
        <v>724</v>
      </c>
      <c r="E65" s="6" cm="1">
        <f t="array" ref="E65">_xlfn.LET(_xlpm.v,INDEX(E$3:E$39,MATCH($A65,$A$3:$A$39,0)),IF(ISBLANK(_xlpm.v),NA(),_xlpm.v))</f>
        <v>638</v>
      </c>
      <c r="F65" s="6" cm="1">
        <f t="array" ref="F65">_xlfn.LET(_xlpm.v,INDEX(F$3:F$39,MATCH($A65,$A$3:$A$39,0)),IF(ISBLANK(_xlpm.v),NA(),_xlpm.v))</f>
        <v>593</v>
      </c>
      <c r="G65" s="6" t="e" cm="1">
        <f t="array" ref="G65">_xlfn.LET(_xlpm.v,INDEX(G$3:G$39,MATCH($A65,$A$3:$A$39,0)),IF(ISBLANK(_xlpm.v),NA(),_xlpm.v))</f>
        <v>#N/A</v>
      </c>
      <c r="H65" s="6" t="e" cm="1">
        <f t="array" ref="H65">_xlfn.LET(_xlpm.v,INDEX(H$3:H$39,MATCH($A65,$A$3:$A$39,0)),IF(ISBLANK(_xlpm.v),NA(),_xlpm.v))</f>
        <v>#N/A</v>
      </c>
      <c r="I65" s="6" t="e" cm="1">
        <f t="array" ref="I65">_xlfn.LET(_xlpm.v,INDEX(I$3:I$39,MATCH($A65,$A$3:$A$39,0)),IF(ISBLANK(_xlpm.v),NA(),_xlpm.v))</f>
        <v>#N/A</v>
      </c>
      <c r="J65" s="6" t="e" cm="1">
        <f t="array" ref="J65">_xlfn.LET(_xlpm.v,INDEX(J$3:J$39,MATCH($A65,$A$3:$A$39,0)),IF(ISBLANK(_xlpm.v),NA(),_xlpm.v))</f>
        <v>#N/A</v>
      </c>
      <c r="K65" s="6" t="e" cm="1">
        <f t="array" ref="K65">_xlfn.LET(_xlpm.v,INDEX(K$3:K$39,MATCH($A65,$A$3:$A$39,0)),IF(ISBLANK(_xlpm.v),NA(),_xlpm.v))</f>
        <v>#N/A</v>
      </c>
      <c r="L65" s="6" t="e" cm="1">
        <f t="array" ref="L65">_xlfn.LET(_xlpm.v,INDEX(L$3:L$39,MATCH($A65,$A$3:$A$39,0)),IF(ISBLANK(_xlpm.v),NA(),_xlpm.v))</f>
        <v>#N/A</v>
      </c>
      <c r="M65" s="6" t="e" cm="1">
        <f t="array" ref="M65">_xlfn.LET(_xlpm.v,INDEX(M$3:M$39,MATCH($A65,$A$3:$A$39,0)),IF(ISBLANK(_xlpm.v),NA(),_xlpm.v))</f>
        <v>#N/A</v>
      </c>
      <c r="N65" s="6" t="e" cm="1">
        <f t="array" ref="N65">_xlfn.LET(_xlpm.v,INDEX(N$3:N$39,MATCH($A65,$A$3:$A$39,0)),IF(ISBLANK(_xlpm.v),NA(),_xlpm.v))</f>
        <v>#N/A</v>
      </c>
    </row>
    <row r="66" spans="1:14" x14ac:dyDescent="0.4">
      <c r="A66" s="5">
        <v>25</v>
      </c>
      <c r="B66" s="6" cm="1">
        <f t="array" ref="B66">_xlfn.LET(_xlpm.v,INDEX(B$3:B$39,MATCH($A66,$A$3:$A$39,0)),IF(ISBLANK(_xlpm.v),NA(),_xlpm.v))</f>
        <v>1100</v>
      </c>
      <c r="C66" s="6" cm="1">
        <f t="array" ref="C66">_xlfn.LET(_xlpm.v,INDEX(C$3:C$39,MATCH($A66,$A$3:$A$39,0)),IF(ISBLANK(_xlpm.v),NA(),_xlpm.v))</f>
        <v>937</v>
      </c>
      <c r="D66" s="6" cm="1">
        <f t="array" ref="D66">_xlfn.LET(_xlpm.v,INDEX(D$3:D$39,MATCH($A66,$A$3:$A$39,0)),IF(ISBLANK(_xlpm.v),NA(),_xlpm.v))</f>
        <v>811</v>
      </c>
      <c r="E66" s="6" cm="1">
        <f t="array" ref="E66">_xlfn.LET(_xlpm.v,INDEX(E$3:E$39,MATCH($A66,$A$3:$A$39,0)),IF(ISBLANK(_xlpm.v),NA(),_xlpm.v))</f>
        <v>728</v>
      </c>
      <c r="F66" s="6" cm="1">
        <f t="array" ref="F66">_xlfn.LET(_xlpm.v,INDEX(F$3:F$39,MATCH($A66,$A$3:$A$39,0)),IF(ISBLANK(_xlpm.v),NA(),_xlpm.v))</f>
        <v>681</v>
      </c>
      <c r="G66" s="6" t="e" cm="1">
        <f t="array" ref="G66">_xlfn.LET(_xlpm.v,INDEX(G$3:G$39,MATCH($A66,$A$3:$A$39,0)),IF(ISBLANK(_xlpm.v),NA(),_xlpm.v))</f>
        <v>#N/A</v>
      </c>
      <c r="H66" s="6" t="e" cm="1">
        <f t="array" ref="H66">_xlfn.LET(_xlpm.v,INDEX(H$3:H$39,MATCH($A66,$A$3:$A$39,0)),IF(ISBLANK(_xlpm.v),NA(),_xlpm.v))</f>
        <v>#N/A</v>
      </c>
      <c r="I66" s="6" t="e" cm="1">
        <f t="array" ref="I66">_xlfn.LET(_xlpm.v,INDEX(I$3:I$39,MATCH($A66,$A$3:$A$39,0)),IF(ISBLANK(_xlpm.v),NA(),_xlpm.v))</f>
        <v>#N/A</v>
      </c>
      <c r="J66" s="6" t="e" cm="1">
        <f t="array" ref="J66">_xlfn.LET(_xlpm.v,INDEX(J$3:J$39,MATCH($A66,$A$3:$A$39,0)),IF(ISBLANK(_xlpm.v),NA(),_xlpm.v))</f>
        <v>#N/A</v>
      </c>
      <c r="K66" s="6" t="e" cm="1">
        <f t="array" ref="K66">_xlfn.LET(_xlpm.v,INDEX(K$3:K$39,MATCH($A66,$A$3:$A$39,0)),IF(ISBLANK(_xlpm.v),NA(),_xlpm.v))</f>
        <v>#N/A</v>
      </c>
      <c r="L66" s="6" t="e" cm="1">
        <f t="array" ref="L66">_xlfn.LET(_xlpm.v,INDEX(L$3:L$39,MATCH($A66,$A$3:$A$39,0)),IF(ISBLANK(_xlpm.v),NA(),_xlpm.v))</f>
        <v>#N/A</v>
      </c>
      <c r="M66" s="6" t="e" cm="1">
        <f t="array" ref="M66">_xlfn.LET(_xlpm.v,INDEX(M$3:M$39,MATCH($A66,$A$3:$A$39,0)),IF(ISBLANK(_xlpm.v),NA(),_xlpm.v))</f>
        <v>#N/A</v>
      </c>
      <c r="N66" s="6" t="e" cm="1">
        <f t="array" ref="N66">_xlfn.LET(_xlpm.v,INDEX(N$3:N$39,MATCH($A66,$A$3:$A$39,0)),IF(ISBLANK(_xlpm.v),NA(),_xlpm.v))</f>
        <v>#N/A</v>
      </c>
    </row>
    <row r="67" spans="1:14" x14ac:dyDescent="0.4">
      <c r="A67" s="5">
        <v>30</v>
      </c>
      <c r="B67" s="6" cm="1">
        <f t="array" ref="B67">_xlfn.LET(_xlpm.v,INDEX(B$3:B$39,MATCH($A67,$A$3:$A$39,0)),IF(ISBLANK(_xlpm.v),NA(),_xlpm.v))</f>
        <v>1169</v>
      </c>
      <c r="C67" s="6" cm="1">
        <f t="array" ref="C67">_xlfn.LET(_xlpm.v,INDEX(C$3:C$39,MATCH($A67,$A$3:$A$39,0)),IF(ISBLANK(_xlpm.v),NA(),_xlpm.v))</f>
        <v>1014</v>
      </c>
      <c r="D67" s="6" cm="1">
        <f t="array" ref="D67">_xlfn.LET(_xlpm.v,INDEX(D$3:D$39,MATCH($A67,$A$3:$A$39,0)),IF(ISBLANK(_xlpm.v),NA(),_xlpm.v))</f>
        <v>889</v>
      </c>
      <c r="E67" s="6" cm="1">
        <f t="array" ref="E67">_xlfn.LET(_xlpm.v,INDEX(E$3:E$39,MATCH($A67,$A$3:$A$39,0)),IF(ISBLANK(_xlpm.v),NA(),_xlpm.v))</f>
        <v>807</v>
      </c>
      <c r="F67" s="6" cm="1">
        <f t="array" ref="F67">_xlfn.LET(_xlpm.v,INDEX(F$3:F$39,MATCH($A67,$A$3:$A$39,0)),IF(ISBLANK(_xlpm.v),NA(),_xlpm.v))</f>
        <v>758</v>
      </c>
      <c r="G67" s="6" t="e" cm="1">
        <f t="array" ref="G67">_xlfn.LET(_xlpm.v,INDEX(G$3:G$39,MATCH($A67,$A$3:$A$39,0)),IF(ISBLANK(_xlpm.v),NA(),_xlpm.v))</f>
        <v>#N/A</v>
      </c>
      <c r="H67" s="6" t="e" cm="1">
        <f t="array" ref="H67">_xlfn.LET(_xlpm.v,INDEX(H$3:H$39,MATCH($A67,$A$3:$A$39,0)),IF(ISBLANK(_xlpm.v),NA(),_xlpm.v))</f>
        <v>#N/A</v>
      </c>
      <c r="I67" s="6" t="e" cm="1">
        <f t="array" ref="I67">_xlfn.LET(_xlpm.v,INDEX(I$3:I$39,MATCH($A67,$A$3:$A$39,0)),IF(ISBLANK(_xlpm.v),NA(),_xlpm.v))</f>
        <v>#N/A</v>
      </c>
      <c r="J67" s="6" t="e" cm="1">
        <f t="array" ref="J67">_xlfn.LET(_xlpm.v,INDEX(J$3:J$39,MATCH($A67,$A$3:$A$39,0)),IF(ISBLANK(_xlpm.v),NA(),_xlpm.v))</f>
        <v>#N/A</v>
      </c>
      <c r="K67" s="6" t="e" cm="1">
        <f t="array" ref="K67">_xlfn.LET(_xlpm.v,INDEX(K$3:K$39,MATCH($A67,$A$3:$A$39,0)),IF(ISBLANK(_xlpm.v),NA(),_xlpm.v))</f>
        <v>#N/A</v>
      </c>
      <c r="L67" s="6" t="e" cm="1">
        <f t="array" ref="L67">_xlfn.LET(_xlpm.v,INDEX(L$3:L$39,MATCH($A67,$A$3:$A$39,0)),IF(ISBLANK(_xlpm.v),NA(),_xlpm.v))</f>
        <v>#N/A</v>
      </c>
      <c r="M67" s="6" t="e" cm="1">
        <f t="array" ref="M67">_xlfn.LET(_xlpm.v,INDEX(M$3:M$39,MATCH($A67,$A$3:$A$39,0)),IF(ISBLANK(_xlpm.v),NA(),_xlpm.v))</f>
        <v>#N/A</v>
      </c>
      <c r="N67" s="6" t="e" cm="1">
        <f t="array" ref="N67">_xlfn.LET(_xlpm.v,INDEX(N$3:N$39,MATCH($A67,$A$3:$A$39,0)),IF(ISBLANK(_xlpm.v),NA(),_xlpm.v))</f>
        <v>#N/A</v>
      </c>
    </row>
    <row r="68" spans="1:14" x14ac:dyDescent="0.4">
      <c r="A68" s="5">
        <v>35</v>
      </c>
      <c r="B68" s="6" cm="1">
        <f t="array" ref="B68">_xlfn.LET(_xlpm.v,INDEX(B$3:B$39,MATCH($A68,$A$3:$A$39,0)),IF(ISBLANK(_xlpm.v),NA(),_xlpm.v))</f>
        <v>1225</v>
      </c>
      <c r="C68" s="6" cm="1">
        <f t="array" ref="C68">_xlfn.LET(_xlpm.v,INDEX(C$3:C$39,MATCH($A68,$A$3:$A$39,0)),IF(ISBLANK(_xlpm.v),NA(),_xlpm.v))</f>
        <v>1074</v>
      </c>
      <c r="D68" s="6" cm="1">
        <f t="array" ref="D68">_xlfn.LET(_xlpm.v,INDEX(D$3:D$39,MATCH($A68,$A$3:$A$39,0)),IF(ISBLANK(_xlpm.v),NA(),_xlpm.v))</f>
        <v>956</v>
      </c>
      <c r="E68" s="6" cm="1">
        <f t="array" ref="E68">_xlfn.LET(_xlpm.v,INDEX(E$3:E$39,MATCH($A68,$A$3:$A$39,0)),IF(ISBLANK(_xlpm.v),NA(),_xlpm.v))</f>
        <v>877</v>
      </c>
      <c r="F68" s="6" cm="1">
        <f t="array" ref="F68">_xlfn.LET(_xlpm.v,INDEX(F$3:F$39,MATCH($A68,$A$3:$A$39,0)),IF(ISBLANK(_xlpm.v),NA(),_xlpm.v))</f>
        <v>835</v>
      </c>
      <c r="G68" s="6" t="e" cm="1">
        <f t="array" ref="G68">_xlfn.LET(_xlpm.v,INDEX(G$3:G$39,MATCH($A68,$A$3:$A$39,0)),IF(ISBLANK(_xlpm.v),NA(),_xlpm.v))</f>
        <v>#N/A</v>
      </c>
      <c r="H68" s="6" t="e" cm="1">
        <f t="array" ref="H68">_xlfn.LET(_xlpm.v,INDEX(H$3:H$39,MATCH($A68,$A$3:$A$39,0)),IF(ISBLANK(_xlpm.v),NA(),_xlpm.v))</f>
        <v>#N/A</v>
      </c>
      <c r="I68" s="6" t="e" cm="1">
        <f t="array" ref="I68">_xlfn.LET(_xlpm.v,INDEX(I$3:I$39,MATCH($A68,$A$3:$A$39,0)),IF(ISBLANK(_xlpm.v),NA(),_xlpm.v))</f>
        <v>#N/A</v>
      </c>
      <c r="J68" s="6" t="e" cm="1">
        <f t="array" ref="J68">_xlfn.LET(_xlpm.v,INDEX(J$3:J$39,MATCH($A68,$A$3:$A$39,0)),IF(ISBLANK(_xlpm.v),NA(),_xlpm.v))</f>
        <v>#N/A</v>
      </c>
      <c r="K68" s="6" t="e" cm="1">
        <f t="array" ref="K68">_xlfn.LET(_xlpm.v,INDEX(K$3:K$39,MATCH($A68,$A$3:$A$39,0)),IF(ISBLANK(_xlpm.v),NA(),_xlpm.v))</f>
        <v>#N/A</v>
      </c>
      <c r="L68" s="6" t="e" cm="1">
        <f t="array" ref="L68">_xlfn.LET(_xlpm.v,INDEX(L$3:L$39,MATCH($A68,$A$3:$A$39,0)),IF(ISBLANK(_xlpm.v),NA(),_xlpm.v))</f>
        <v>#N/A</v>
      </c>
      <c r="M68" s="6" t="e" cm="1">
        <f t="array" ref="M68">_xlfn.LET(_xlpm.v,INDEX(M$3:M$39,MATCH($A68,$A$3:$A$39,0)),IF(ISBLANK(_xlpm.v),NA(),_xlpm.v))</f>
        <v>#N/A</v>
      </c>
      <c r="N68" s="6" t="e" cm="1">
        <f t="array" ref="N68">_xlfn.LET(_xlpm.v,INDEX(N$3:N$39,MATCH($A68,$A$3:$A$39,0)),IF(ISBLANK(_xlpm.v),NA(),_xlpm.v))</f>
        <v>#N/A</v>
      </c>
    </row>
    <row r="69" spans="1:14" x14ac:dyDescent="0.4">
      <c r="A69" s="5">
        <v>40</v>
      </c>
      <c r="B69" s="6" cm="1">
        <f t="array" ref="B69">_xlfn.LET(_xlpm.v,INDEX(B$3:B$39,MATCH($A69,$A$3:$A$39,0)),IF(ISBLANK(_xlpm.v),NA(),_xlpm.v))</f>
        <v>1261</v>
      </c>
      <c r="C69" s="6" cm="1">
        <f t="array" ref="C69">_xlfn.LET(_xlpm.v,INDEX(C$3:C$39,MATCH($A69,$A$3:$A$39,0)),IF(ISBLANK(_xlpm.v),NA(),_xlpm.v))</f>
        <v>1124</v>
      </c>
      <c r="D69" s="6" cm="1">
        <f t="array" ref="D69">_xlfn.LET(_xlpm.v,INDEX(D$3:D$39,MATCH($A69,$A$3:$A$39,0)),IF(ISBLANK(_xlpm.v),NA(),_xlpm.v))</f>
        <v>1013</v>
      </c>
      <c r="E69" s="6" cm="1">
        <f t="array" ref="E69">_xlfn.LET(_xlpm.v,INDEX(E$3:E$39,MATCH($A69,$A$3:$A$39,0)),IF(ISBLANK(_xlpm.v),NA(),_xlpm.v))</f>
        <v>945</v>
      </c>
      <c r="F69" s="6" cm="1">
        <f t="array" ref="F69">_xlfn.LET(_xlpm.v,INDEX(F$3:F$39,MATCH($A69,$A$3:$A$39,0)),IF(ISBLANK(_xlpm.v),NA(),_xlpm.v))</f>
        <v>900</v>
      </c>
      <c r="G69" s="6" t="e" cm="1">
        <f t="array" ref="G69">_xlfn.LET(_xlpm.v,INDEX(G$3:G$39,MATCH($A69,$A$3:$A$39,0)),IF(ISBLANK(_xlpm.v),NA(),_xlpm.v))</f>
        <v>#N/A</v>
      </c>
      <c r="H69" s="6" t="e" cm="1">
        <f t="array" ref="H69">_xlfn.LET(_xlpm.v,INDEX(H$3:H$39,MATCH($A69,$A$3:$A$39,0)),IF(ISBLANK(_xlpm.v),NA(),_xlpm.v))</f>
        <v>#N/A</v>
      </c>
      <c r="I69" s="6" t="e" cm="1">
        <f t="array" ref="I69">_xlfn.LET(_xlpm.v,INDEX(I$3:I$39,MATCH($A69,$A$3:$A$39,0)),IF(ISBLANK(_xlpm.v),NA(),_xlpm.v))</f>
        <v>#N/A</v>
      </c>
      <c r="J69" s="6" t="e" cm="1">
        <f t="array" ref="J69">_xlfn.LET(_xlpm.v,INDEX(J$3:J$39,MATCH($A69,$A$3:$A$39,0)),IF(ISBLANK(_xlpm.v),NA(),_xlpm.v))</f>
        <v>#N/A</v>
      </c>
      <c r="K69" s="6" t="e" cm="1">
        <f t="array" ref="K69">_xlfn.LET(_xlpm.v,INDEX(K$3:K$39,MATCH($A69,$A$3:$A$39,0)),IF(ISBLANK(_xlpm.v),NA(),_xlpm.v))</f>
        <v>#N/A</v>
      </c>
      <c r="L69" s="6" t="e" cm="1">
        <f t="array" ref="L69">_xlfn.LET(_xlpm.v,INDEX(L$3:L$39,MATCH($A69,$A$3:$A$39,0)),IF(ISBLANK(_xlpm.v),NA(),_xlpm.v))</f>
        <v>#N/A</v>
      </c>
      <c r="M69" s="6" t="e" cm="1">
        <f t="array" ref="M69">_xlfn.LET(_xlpm.v,INDEX(M$3:M$39,MATCH($A69,$A$3:$A$39,0)),IF(ISBLANK(_xlpm.v),NA(),_xlpm.v))</f>
        <v>#N/A</v>
      </c>
      <c r="N69" s="6" t="e" cm="1">
        <f t="array" ref="N69">_xlfn.LET(_xlpm.v,INDEX(N$3:N$39,MATCH($A69,$A$3:$A$39,0)),IF(ISBLANK(_xlpm.v),NA(),_xlpm.v))</f>
        <v>#N/A</v>
      </c>
    </row>
    <row r="70" spans="1:14" x14ac:dyDescent="0.4">
      <c r="A70" s="5">
        <v>45</v>
      </c>
      <c r="B70" s="6" cm="1">
        <f t="array" ref="B70">_xlfn.LET(_xlpm.v,INDEX(B$3:B$39,MATCH($A70,$A$3:$A$39,0)),IF(ISBLANK(_xlpm.v),NA(),_xlpm.v))</f>
        <v>1279</v>
      </c>
      <c r="C70" s="6" cm="1">
        <f t="array" ref="C70">_xlfn.LET(_xlpm.v,INDEX(C$3:C$39,MATCH($A70,$A$3:$A$39,0)),IF(ISBLANK(_xlpm.v),NA(),_xlpm.v))</f>
        <v>1163</v>
      </c>
      <c r="D70" s="6" cm="1">
        <f t="array" ref="D70">_xlfn.LET(_xlpm.v,INDEX(D$3:D$39,MATCH($A70,$A$3:$A$39,0)),IF(ISBLANK(_xlpm.v),NA(),_xlpm.v))</f>
        <v>1063</v>
      </c>
      <c r="E70" s="6" cm="1">
        <f t="array" ref="E70">_xlfn.LET(_xlpm.v,INDEX(E$3:E$39,MATCH($A70,$A$3:$A$39,0)),IF(ISBLANK(_xlpm.v),NA(),_xlpm.v))</f>
        <v>999</v>
      </c>
      <c r="F70" s="6" cm="1">
        <f t="array" ref="F70">_xlfn.LET(_xlpm.v,INDEX(F$3:F$39,MATCH($A70,$A$3:$A$39,0)),IF(ISBLANK(_xlpm.v),NA(),_xlpm.v))</f>
        <v>950</v>
      </c>
      <c r="G70" s="6" t="e" cm="1">
        <f t="array" ref="G70">_xlfn.LET(_xlpm.v,INDEX(G$3:G$39,MATCH($A70,$A$3:$A$39,0)),IF(ISBLANK(_xlpm.v),NA(),_xlpm.v))</f>
        <v>#N/A</v>
      </c>
      <c r="H70" s="6" t="e" cm="1">
        <f t="array" ref="H70">_xlfn.LET(_xlpm.v,INDEX(H$3:H$39,MATCH($A70,$A$3:$A$39,0)),IF(ISBLANK(_xlpm.v),NA(),_xlpm.v))</f>
        <v>#N/A</v>
      </c>
      <c r="I70" s="6" t="e" cm="1">
        <f t="array" ref="I70">_xlfn.LET(_xlpm.v,INDEX(I$3:I$39,MATCH($A70,$A$3:$A$39,0)),IF(ISBLANK(_xlpm.v),NA(),_xlpm.v))</f>
        <v>#N/A</v>
      </c>
      <c r="J70" s="6" t="e" cm="1">
        <f t="array" ref="J70">_xlfn.LET(_xlpm.v,INDEX(J$3:J$39,MATCH($A70,$A$3:$A$39,0)),IF(ISBLANK(_xlpm.v),NA(),_xlpm.v))</f>
        <v>#N/A</v>
      </c>
      <c r="K70" s="6" t="e" cm="1">
        <f t="array" ref="K70">_xlfn.LET(_xlpm.v,INDEX(K$3:K$39,MATCH($A70,$A$3:$A$39,0)),IF(ISBLANK(_xlpm.v),NA(),_xlpm.v))</f>
        <v>#N/A</v>
      </c>
      <c r="L70" s="6" t="e" cm="1">
        <f t="array" ref="L70">_xlfn.LET(_xlpm.v,INDEX(L$3:L$39,MATCH($A70,$A$3:$A$39,0)),IF(ISBLANK(_xlpm.v),NA(),_xlpm.v))</f>
        <v>#N/A</v>
      </c>
      <c r="M70" s="6" t="e" cm="1">
        <f t="array" ref="M70">_xlfn.LET(_xlpm.v,INDEX(M$3:M$39,MATCH($A70,$A$3:$A$39,0)),IF(ISBLANK(_xlpm.v),NA(),_xlpm.v))</f>
        <v>#N/A</v>
      </c>
      <c r="N70" s="6" t="e" cm="1">
        <f t="array" ref="N70">_xlfn.LET(_xlpm.v,INDEX(N$3:N$39,MATCH($A70,$A$3:$A$39,0)),IF(ISBLANK(_xlpm.v),NA(),_xlpm.v))</f>
        <v>#N/A</v>
      </c>
    </row>
    <row r="71" spans="1:14" x14ac:dyDescent="0.4">
      <c r="A71" s="5">
        <v>50</v>
      </c>
      <c r="B71" s="6" cm="1">
        <f t="array" ref="B71">_xlfn.LET(_xlpm.v,INDEX(B$3:B$39,MATCH($A71,$A$3:$A$39,0)),IF(ISBLANK(_xlpm.v),NA(),_xlpm.v))</f>
        <v>1286</v>
      </c>
      <c r="C71" s="6" cm="1">
        <f t="array" ref="C71">_xlfn.LET(_xlpm.v,INDEX(C$3:C$39,MATCH($A71,$A$3:$A$39,0)),IF(ISBLANK(_xlpm.v),NA(),_xlpm.v))</f>
        <v>1187</v>
      </c>
      <c r="D71" s="6" cm="1">
        <f t="array" ref="D71">_xlfn.LET(_xlpm.v,INDEX(D$3:D$39,MATCH($A71,$A$3:$A$39,0)),IF(ISBLANK(_xlpm.v),NA(),_xlpm.v))</f>
        <v>1096</v>
      </c>
      <c r="E71" s="6" cm="1">
        <f t="array" ref="E71">_xlfn.LET(_xlpm.v,INDEX(E$3:E$39,MATCH($A71,$A$3:$A$39,0)),IF(ISBLANK(_xlpm.v),NA(),_xlpm.v))</f>
        <v>1030</v>
      </c>
      <c r="F71" s="6" cm="1">
        <f t="array" ref="F71">_xlfn.LET(_xlpm.v,INDEX(F$3:F$39,MATCH($A71,$A$3:$A$39,0)),IF(ISBLANK(_xlpm.v),NA(),_xlpm.v))</f>
        <v>1004</v>
      </c>
      <c r="G71" s="6" t="e" cm="1">
        <f t="array" ref="G71">_xlfn.LET(_xlpm.v,INDEX(G$3:G$39,MATCH($A71,$A$3:$A$39,0)),IF(ISBLANK(_xlpm.v),NA(),_xlpm.v))</f>
        <v>#N/A</v>
      </c>
      <c r="H71" s="6" t="e" cm="1">
        <f t="array" ref="H71">_xlfn.LET(_xlpm.v,INDEX(H$3:H$39,MATCH($A71,$A$3:$A$39,0)),IF(ISBLANK(_xlpm.v),NA(),_xlpm.v))</f>
        <v>#N/A</v>
      </c>
      <c r="I71" s="6" t="e" cm="1">
        <f t="array" ref="I71">_xlfn.LET(_xlpm.v,INDEX(I$3:I$39,MATCH($A71,$A$3:$A$39,0)),IF(ISBLANK(_xlpm.v),NA(),_xlpm.v))</f>
        <v>#N/A</v>
      </c>
      <c r="J71" s="6" t="e" cm="1">
        <f t="array" ref="J71">_xlfn.LET(_xlpm.v,INDEX(J$3:J$39,MATCH($A71,$A$3:$A$39,0)),IF(ISBLANK(_xlpm.v),NA(),_xlpm.v))</f>
        <v>#N/A</v>
      </c>
      <c r="K71" s="6" t="e" cm="1">
        <f t="array" ref="K71">_xlfn.LET(_xlpm.v,INDEX(K$3:K$39,MATCH($A71,$A$3:$A$39,0)),IF(ISBLANK(_xlpm.v),NA(),_xlpm.v))</f>
        <v>#N/A</v>
      </c>
      <c r="L71" s="6" t="e" cm="1">
        <f t="array" ref="L71">_xlfn.LET(_xlpm.v,INDEX(L$3:L$39,MATCH($A71,$A$3:$A$39,0)),IF(ISBLANK(_xlpm.v),NA(),_xlpm.v))</f>
        <v>#N/A</v>
      </c>
      <c r="M71" s="6" t="e" cm="1">
        <f t="array" ref="M71">_xlfn.LET(_xlpm.v,INDEX(M$3:M$39,MATCH($A71,$A$3:$A$39,0)),IF(ISBLANK(_xlpm.v),NA(),_xlpm.v))</f>
        <v>#N/A</v>
      </c>
      <c r="N71" s="6" t="e" cm="1">
        <f t="array" ref="N71">_xlfn.LET(_xlpm.v,INDEX(N$3:N$39,MATCH($A71,$A$3:$A$39,0)),IF(ISBLANK(_xlpm.v),NA(),_xlpm.v))</f>
        <v>#N/A</v>
      </c>
    </row>
    <row r="72" spans="1:14" x14ac:dyDescent="0.4">
      <c r="A72" s="5">
        <v>55</v>
      </c>
      <c r="B72" s="6" cm="1">
        <f t="array" ref="B72">_xlfn.LET(_xlpm.v,INDEX(B$3:B$39,MATCH($A72,$A$3:$A$39,0)),IF(ISBLANK(_xlpm.v),NA(),_xlpm.v))</f>
        <v>1273</v>
      </c>
      <c r="C72" s="6" cm="1">
        <f t="array" ref="C72">_xlfn.LET(_xlpm.v,INDEX(C$3:C$39,MATCH($A72,$A$3:$A$39,0)),IF(ISBLANK(_xlpm.v),NA(),_xlpm.v))</f>
        <v>1197</v>
      </c>
      <c r="D72" s="6" cm="1">
        <f t="array" ref="D72">_xlfn.LET(_xlpm.v,INDEX(D$3:D$39,MATCH($A72,$A$3:$A$39,0)),IF(ISBLANK(_xlpm.v),NA(),_xlpm.v))</f>
        <v>1115</v>
      </c>
      <c r="E72" s="6" cm="1">
        <f t="array" ref="E72">_xlfn.LET(_xlpm.v,INDEX(E$3:E$39,MATCH($A72,$A$3:$A$39,0)),IF(ISBLANK(_xlpm.v),NA(),_xlpm.v))</f>
        <v>1059</v>
      </c>
      <c r="F72" s="6" cm="1">
        <f t="array" ref="F72">_xlfn.LET(_xlpm.v,INDEX(F$3:F$39,MATCH($A72,$A$3:$A$39,0)),IF(ISBLANK(_xlpm.v),NA(),_xlpm.v))</f>
        <v>1035</v>
      </c>
      <c r="G72" s="6" t="e" cm="1">
        <f t="array" ref="G72">_xlfn.LET(_xlpm.v,INDEX(G$3:G$39,MATCH($A72,$A$3:$A$39,0)),IF(ISBLANK(_xlpm.v),NA(),_xlpm.v))</f>
        <v>#N/A</v>
      </c>
      <c r="H72" s="6" t="e" cm="1">
        <f t="array" ref="H72">_xlfn.LET(_xlpm.v,INDEX(H$3:H$39,MATCH($A72,$A$3:$A$39,0)),IF(ISBLANK(_xlpm.v),NA(),_xlpm.v))</f>
        <v>#N/A</v>
      </c>
      <c r="I72" s="6" t="e" cm="1">
        <f t="array" ref="I72">_xlfn.LET(_xlpm.v,INDEX(I$3:I$39,MATCH($A72,$A$3:$A$39,0)),IF(ISBLANK(_xlpm.v),NA(),_xlpm.v))</f>
        <v>#N/A</v>
      </c>
      <c r="J72" s="6" t="e" cm="1">
        <f t="array" ref="J72">_xlfn.LET(_xlpm.v,INDEX(J$3:J$39,MATCH($A72,$A$3:$A$39,0)),IF(ISBLANK(_xlpm.v),NA(),_xlpm.v))</f>
        <v>#N/A</v>
      </c>
      <c r="K72" s="6" t="e" cm="1">
        <f t="array" ref="K72">_xlfn.LET(_xlpm.v,INDEX(K$3:K$39,MATCH($A72,$A$3:$A$39,0)),IF(ISBLANK(_xlpm.v),NA(),_xlpm.v))</f>
        <v>#N/A</v>
      </c>
      <c r="L72" s="6" t="e" cm="1">
        <f t="array" ref="L72">_xlfn.LET(_xlpm.v,INDEX(L$3:L$39,MATCH($A72,$A$3:$A$39,0)),IF(ISBLANK(_xlpm.v),NA(),_xlpm.v))</f>
        <v>#N/A</v>
      </c>
      <c r="M72" s="6" t="e" cm="1">
        <f t="array" ref="M72">_xlfn.LET(_xlpm.v,INDEX(M$3:M$39,MATCH($A72,$A$3:$A$39,0)),IF(ISBLANK(_xlpm.v),NA(),_xlpm.v))</f>
        <v>#N/A</v>
      </c>
      <c r="N72" s="6" t="e" cm="1">
        <f t="array" ref="N72">_xlfn.LET(_xlpm.v,INDEX(N$3:N$39,MATCH($A72,$A$3:$A$39,0)),IF(ISBLANK(_xlpm.v),NA(),_xlpm.v))</f>
        <v>#N/A</v>
      </c>
    </row>
    <row r="73" spans="1:14" x14ac:dyDescent="0.4">
      <c r="A73" s="5">
        <v>60</v>
      </c>
      <c r="B73" s="6" cm="1">
        <f t="array" ref="B73">_xlfn.LET(_xlpm.v,INDEX(B$3:B$39,MATCH($A73,$A$3:$A$39,0)),IF(ISBLANK(_xlpm.v),NA(),_xlpm.v))</f>
        <v>1252</v>
      </c>
      <c r="C73" s="6" cm="1">
        <f t="array" ref="C73">_xlfn.LET(_xlpm.v,INDEX(C$3:C$39,MATCH($A73,$A$3:$A$39,0)),IF(ISBLANK(_xlpm.v),NA(),_xlpm.v))</f>
        <v>1193</v>
      </c>
      <c r="D73" s="6" cm="1">
        <f t="array" ref="D73">_xlfn.LET(_xlpm.v,INDEX(D$3:D$39,MATCH($A73,$A$3:$A$39,0)),IF(ISBLANK(_xlpm.v),NA(),_xlpm.v))</f>
        <v>1126</v>
      </c>
      <c r="E73" s="6" cm="1">
        <f t="array" ref="E73">_xlfn.LET(_xlpm.v,INDEX(E$3:E$39,MATCH($A73,$A$3:$A$39,0)),IF(ISBLANK(_xlpm.v),NA(),_xlpm.v))</f>
        <v>1076</v>
      </c>
      <c r="F73" s="6" cm="1">
        <f t="array" ref="F73">_xlfn.LET(_xlpm.v,INDEX(F$3:F$39,MATCH($A73,$A$3:$A$39,0)),IF(ISBLANK(_xlpm.v),NA(),_xlpm.v))</f>
        <v>1055</v>
      </c>
      <c r="G73" s="6" t="e" cm="1">
        <f t="array" ref="G73">_xlfn.LET(_xlpm.v,INDEX(G$3:G$39,MATCH($A73,$A$3:$A$39,0)),IF(ISBLANK(_xlpm.v),NA(),_xlpm.v))</f>
        <v>#N/A</v>
      </c>
      <c r="H73" s="6" t="e" cm="1">
        <f t="array" ref="H73">_xlfn.LET(_xlpm.v,INDEX(H$3:H$39,MATCH($A73,$A$3:$A$39,0)),IF(ISBLANK(_xlpm.v),NA(),_xlpm.v))</f>
        <v>#N/A</v>
      </c>
      <c r="I73" s="6" t="e" cm="1">
        <f t="array" ref="I73">_xlfn.LET(_xlpm.v,INDEX(I$3:I$39,MATCH($A73,$A$3:$A$39,0)),IF(ISBLANK(_xlpm.v),NA(),_xlpm.v))</f>
        <v>#N/A</v>
      </c>
      <c r="J73" s="6" t="e" cm="1">
        <f t="array" ref="J73">_xlfn.LET(_xlpm.v,INDEX(J$3:J$39,MATCH($A73,$A$3:$A$39,0)),IF(ISBLANK(_xlpm.v),NA(),_xlpm.v))</f>
        <v>#N/A</v>
      </c>
      <c r="K73" s="6" t="e" cm="1">
        <f t="array" ref="K73">_xlfn.LET(_xlpm.v,INDEX(K$3:K$39,MATCH($A73,$A$3:$A$39,0)),IF(ISBLANK(_xlpm.v),NA(),_xlpm.v))</f>
        <v>#N/A</v>
      </c>
      <c r="L73" s="6" t="e" cm="1">
        <f t="array" ref="L73">_xlfn.LET(_xlpm.v,INDEX(L$3:L$39,MATCH($A73,$A$3:$A$39,0)),IF(ISBLANK(_xlpm.v),NA(),_xlpm.v))</f>
        <v>#N/A</v>
      </c>
      <c r="M73" s="6" t="e" cm="1">
        <f t="array" ref="M73">_xlfn.LET(_xlpm.v,INDEX(M$3:M$39,MATCH($A73,$A$3:$A$39,0)),IF(ISBLANK(_xlpm.v),NA(),_xlpm.v))</f>
        <v>#N/A</v>
      </c>
      <c r="N73" s="6" t="e" cm="1">
        <f t="array" ref="N73">_xlfn.LET(_xlpm.v,INDEX(N$3:N$39,MATCH($A73,$A$3:$A$39,0)),IF(ISBLANK(_xlpm.v),NA(),_xlpm.v))</f>
        <v>#N/A</v>
      </c>
    </row>
    <row r="74" spans="1:14" x14ac:dyDescent="0.4">
      <c r="A74" s="5">
        <v>65</v>
      </c>
      <c r="B74" s="6" cm="1">
        <f t="array" ref="B74">_xlfn.LET(_xlpm.v,INDEX(B$3:B$39,MATCH($A74,$A$3:$A$39,0)),IF(ISBLANK(_xlpm.v),NA(),_xlpm.v))</f>
        <v>1209</v>
      </c>
      <c r="C74" s="6" cm="1">
        <f t="array" ref="C74">_xlfn.LET(_xlpm.v,INDEX(C$3:C$39,MATCH($A74,$A$3:$A$39,0)),IF(ISBLANK(_xlpm.v),NA(),_xlpm.v))</f>
        <v>1169</v>
      </c>
      <c r="D74" s="6" cm="1">
        <f t="array" ref="D74">_xlfn.LET(_xlpm.v,INDEX(D$3:D$39,MATCH($A74,$A$3:$A$39,0)),IF(ISBLANK(_xlpm.v),NA(),_xlpm.v))</f>
        <v>1123</v>
      </c>
      <c r="E74" s="6" cm="1">
        <f t="array" ref="E74">_xlfn.LET(_xlpm.v,INDEX(E$3:E$39,MATCH($A74,$A$3:$A$39,0)),IF(ISBLANK(_xlpm.v),NA(),_xlpm.v))</f>
        <v>1077</v>
      </c>
      <c r="F74" s="6" cm="1">
        <f t="array" ref="F74">_xlfn.LET(_xlpm.v,INDEX(F$3:F$39,MATCH($A74,$A$3:$A$39,0)),IF(ISBLANK(_xlpm.v),NA(),_xlpm.v))</f>
        <v>1061</v>
      </c>
      <c r="G74" s="6" t="e" cm="1">
        <f t="array" ref="G74">_xlfn.LET(_xlpm.v,INDEX(G$3:G$39,MATCH($A74,$A$3:$A$39,0)),IF(ISBLANK(_xlpm.v),NA(),_xlpm.v))</f>
        <v>#N/A</v>
      </c>
      <c r="H74" s="6" t="e" cm="1">
        <f t="array" ref="H74">_xlfn.LET(_xlpm.v,INDEX(H$3:H$39,MATCH($A74,$A$3:$A$39,0)),IF(ISBLANK(_xlpm.v),NA(),_xlpm.v))</f>
        <v>#N/A</v>
      </c>
      <c r="I74" s="6" t="e" cm="1">
        <f t="array" ref="I74">_xlfn.LET(_xlpm.v,INDEX(I$3:I$39,MATCH($A74,$A$3:$A$39,0)),IF(ISBLANK(_xlpm.v),NA(),_xlpm.v))</f>
        <v>#N/A</v>
      </c>
      <c r="J74" s="6" t="e" cm="1">
        <f t="array" ref="J74">_xlfn.LET(_xlpm.v,INDEX(J$3:J$39,MATCH($A74,$A$3:$A$39,0)),IF(ISBLANK(_xlpm.v),NA(),_xlpm.v))</f>
        <v>#N/A</v>
      </c>
      <c r="K74" s="6" t="e" cm="1">
        <f t="array" ref="K74">_xlfn.LET(_xlpm.v,INDEX(K$3:K$39,MATCH($A74,$A$3:$A$39,0)),IF(ISBLANK(_xlpm.v),NA(),_xlpm.v))</f>
        <v>#N/A</v>
      </c>
      <c r="L74" s="6" t="e" cm="1">
        <f t="array" ref="L74">_xlfn.LET(_xlpm.v,INDEX(L$3:L$39,MATCH($A74,$A$3:$A$39,0)),IF(ISBLANK(_xlpm.v),NA(),_xlpm.v))</f>
        <v>#N/A</v>
      </c>
      <c r="M74" s="6" t="e" cm="1">
        <f t="array" ref="M74">_xlfn.LET(_xlpm.v,INDEX(M$3:M$39,MATCH($A74,$A$3:$A$39,0)),IF(ISBLANK(_xlpm.v),NA(),_xlpm.v))</f>
        <v>#N/A</v>
      </c>
      <c r="N74" s="6" t="e" cm="1">
        <f t="array" ref="N74">_xlfn.LET(_xlpm.v,INDEX(N$3:N$39,MATCH($A74,$A$3:$A$39,0)),IF(ISBLANK(_xlpm.v),NA(),_xlpm.v))</f>
        <v>#N/A</v>
      </c>
    </row>
    <row r="75" spans="1:14" x14ac:dyDescent="0.4">
      <c r="A75" s="5">
        <v>70</v>
      </c>
      <c r="B75" s="6" cm="1">
        <f t="array" ref="B75">_xlfn.LET(_xlpm.v,INDEX(B$3:B$39,MATCH($A75,$A$3:$A$39,0)),IF(ISBLANK(_xlpm.v),NA(),_xlpm.v))</f>
        <v>1152</v>
      </c>
      <c r="C75" s="6" cm="1">
        <f t="array" ref="C75">_xlfn.LET(_xlpm.v,INDEX(C$3:C$39,MATCH($A75,$A$3:$A$39,0)),IF(ISBLANK(_xlpm.v),NA(),_xlpm.v))</f>
        <v>1135</v>
      </c>
      <c r="D75" s="6" cm="1">
        <f t="array" ref="D75">_xlfn.LET(_xlpm.v,INDEX(D$3:D$39,MATCH($A75,$A$3:$A$39,0)),IF(ISBLANK(_xlpm.v),NA(),_xlpm.v))</f>
        <v>1101</v>
      </c>
      <c r="E75" s="6" cm="1">
        <f t="array" ref="E75">_xlfn.LET(_xlpm.v,INDEX(E$3:E$39,MATCH($A75,$A$3:$A$39,0)),IF(ISBLANK(_xlpm.v),NA(),_xlpm.v))</f>
        <v>1063</v>
      </c>
      <c r="F75" s="6" cm="1">
        <f t="array" ref="F75">_xlfn.LET(_xlpm.v,INDEX(F$3:F$39,MATCH($A75,$A$3:$A$39,0)),IF(ISBLANK(_xlpm.v),NA(),_xlpm.v))</f>
        <v>1055</v>
      </c>
      <c r="G75" s="6" t="e" cm="1">
        <f t="array" ref="G75">_xlfn.LET(_xlpm.v,INDEX(G$3:G$39,MATCH($A75,$A$3:$A$39,0)),IF(ISBLANK(_xlpm.v),NA(),_xlpm.v))</f>
        <v>#N/A</v>
      </c>
      <c r="H75" s="6" t="e" cm="1">
        <f t="array" ref="H75">_xlfn.LET(_xlpm.v,INDEX(H$3:H$39,MATCH($A75,$A$3:$A$39,0)),IF(ISBLANK(_xlpm.v),NA(),_xlpm.v))</f>
        <v>#N/A</v>
      </c>
      <c r="I75" s="6" t="e" cm="1">
        <f t="array" ref="I75">_xlfn.LET(_xlpm.v,INDEX(I$3:I$39,MATCH($A75,$A$3:$A$39,0)),IF(ISBLANK(_xlpm.v),NA(),_xlpm.v))</f>
        <v>#N/A</v>
      </c>
      <c r="J75" s="6" t="e" cm="1">
        <f t="array" ref="J75">_xlfn.LET(_xlpm.v,INDEX(J$3:J$39,MATCH($A75,$A$3:$A$39,0)),IF(ISBLANK(_xlpm.v),NA(),_xlpm.v))</f>
        <v>#N/A</v>
      </c>
      <c r="K75" s="6" t="e" cm="1">
        <f t="array" ref="K75">_xlfn.LET(_xlpm.v,INDEX(K$3:K$39,MATCH($A75,$A$3:$A$39,0)),IF(ISBLANK(_xlpm.v),NA(),_xlpm.v))</f>
        <v>#N/A</v>
      </c>
      <c r="L75" s="6" t="e" cm="1">
        <f t="array" ref="L75">_xlfn.LET(_xlpm.v,INDEX(L$3:L$39,MATCH($A75,$A$3:$A$39,0)),IF(ISBLANK(_xlpm.v),NA(),_xlpm.v))</f>
        <v>#N/A</v>
      </c>
      <c r="M75" s="6" t="e" cm="1">
        <f t="array" ref="M75">_xlfn.LET(_xlpm.v,INDEX(M$3:M$39,MATCH($A75,$A$3:$A$39,0)),IF(ISBLANK(_xlpm.v),NA(),_xlpm.v))</f>
        <v>#N/A</v>
      </c>
      <c r="N75" s="6" t="e" cm="1">
        <f t="array" ref="N75">_xlfn.LET(_xlpm.v,INDEX(N$3:N$39,MATCH($A75,$A$3:$A$39,0)),IF(ISBLANK(_xlpm.v),NA(),_xlpm.v))</f>
        <v>#N/A</v>
      </c>
    </row>
    <row r="76" spans="1:14" x14ac:dyDescent="0.4">
      <c r="A76" s="5">
        <v>75</v>
      </c>
      <c r="B76" s="6" cm="1">
        <f t="array" ref="B76">_xlfn.LET(_xlpm.v,INDEX(B$3:B$39,MATCH($A76,$A$3:$A$39,0)),IF(ISBLANK(_xlpm.v),NA(),_xlpm.v))</f>
        <v>1089</v>
      </c>
      <c r="C76" s="6" cm="1">
        <f t="array" ref="C76">_xlfn.LET(_xlpm.v,INDEX(C$3:C$39,MATCH($A76,$A$3:$A$39,0)),IF(ISBLANK(_xlpm.v),NA(),_xlpm.v))</f>
        <v>1090</v>
      </c>
      <c r="D76" s="6" cm="1">
        <f t="array" ref="D76">_xlfn.LET(_xlpm.v,INDEX(D$3:D$39,MATCH($A76,$A$3:$A$39,0)),IF(ISBLANK(_xlpm.v),NA(),_xlpm.v))</f>
        <v>1065</v>
      </c>
      <c r="E76" s="6" cm="1">
        <f t="array" ref="E76">_xlfn.LET(_xlpm.v,INDEX(E$3:E$39,MATCH($A76,$A$3:$A$39,0)),IF(ISBLANK(_xlpm.v),NA(),_xlpm.v))</f>
        <v>1038</v>
      </c>
      <c r="F76" s="6" cm="1">
        <f t="array" ref="F76">_xlfn.LET(_xlpm.v,INDEX(F$3:F$39,MATCH($A76,$A$3:$A$39,0)),IF(ISBLANK(_xlpm.v),NA(),_xlpm.v))</f>
        <v>1034</v>
      </c>
      <c r="G76" s="6" t="e" cm="1">
        <f t="array" ref="G76">_xlfn.LET(_xlpm.v,INDEX(G$3:G$39,MATCH($A76,$A$3:$A$39,0)),IF(ISBLANK(_xlpm.v),NA(),_xlpm.v))</f>
        <v>#N/A</v>
      </c>
      <c r="H76" s="6" t="e" cm="1">
        <f t="array" ref="H76">_xlfn.LET(_xlpm.v,INDEX(H$3:H$39,MATCH($A76,$A$3:$A$39,0)),IF(ISBLANK(_xlpm.v),NA(),_xlpm.v))</f>
        <v>#N/A</v>
      </c>
      <c r="I76" s="6" t="e" cm="1">
        <f t="array" ref="I76">_xlfn.LET(_xlpm.v,INDEX(I$3:I$39,MATCH($A76,$A$3:$A$39,0)),IF(ISBLANK(_xlpm.v),NA(),_xlpm.v))</f>
        <v>#N/A</v>
      </c>
      <c r="J76" s="6" t="e" cm="1">
        <f t="array" ref="J76">_xlfn.LET(_xlpm.v,INDEX(J$3:J$39,MATCH($A76,$A$3:$A$39,0)),IF(ISBLANK(_xlpm.v),NA(),_xlpm.v))</f>
        <v>#N/A</v>
      </c>
      <c r="K76" s="6" t="e" cm="1">
        <f t="array" ref="K76">_xlfn.LET(_xlpm.v,INDEX(K$3:K$39,MATCH($A76,$A$3:$A$39,0)),IF(ISBLANK(_xlpm.v),NA(),_xlpm.v))</f>
        <v>#N/A</v>
      </c>
      <c r="L76" s="6" t="e" cm="1">
        <f t="array" ref="L76">_xlfn.LET(_xlpm.v,INDEX(L$3:L$39,MATCH($A76,$A$3:$A$39,0)),IF(ISBLANK(_xlpm.v),NA(),_xlpm.v))</f>
        <v>#N/A</v>
      </c>
      <c r="M76" s="6" t="e" cm="1">
        <f t="array" ref="M76">_xlfn.LET(_xlpm.v,INDEX(M$3:M$39,MATCH($A76,$A$3:$A$39,0)),IF(ISBLANK(_xlpm.v),NA(),_xlpm.v))</f>
        <v>#N/A</v>
      </c>
      <c r="N76" s="6" t="e" cm="1">
        <f t="array" ref="N76">_xlfn.LET(_xlpm.v,INDEX(N$3:N$39,MATCH($A76,$A$3:$A$39,0)),IF(ISBLANK(_xlpm.v),NA(),_xlpm.v))</f>
        <v>#N/A</v>
      </c>
    </row>
    <row r="77" spans="1:14" x14ac:dyDescent="0.4">
      <c r="A77" s="5">
        <v>80</v>
      </c>
      <c r="B77" s="6" cm="1">
        <f t="array" ref="B77">_xlfn.LET(_xlpm.v,INDEX(B$3:B$39,MATCH($A77,$A$3:$A$39,0)),IF(ISBLANK(_xlpm.v),NA(),_xlpm.v))</f>
        <v>1027</v>
      </c>
      <c r="C77" s="6" cm="1">
        <f t="array" ref="C77">_xlfn.LET(_xlpm.v,INDEX(C$3:C$39,MATCH($A77,$A$3:$A$39,0)),IF(ISBLANK(_xlpm.v),NA(),_xlpm.v))</f>
        <v>1030</v>
      </c>
      <c r="D77" s="6" cm="1">
        <f t="array" ref="D77">_xlfn.LET(_xlpm.v,INDEX(D$3:D$39,MATCH($A77,$A$3:$A$39,0)),IF(ISBLANK(_xlpm.v),NA(),_xlpm.v))</f>
        <v>1021</v>
      </c>
      <c r="E77" s="6" cm="1">
        <f t="array" ref="E77">_xlfn.LET(_xlpm.v,INDEX(E$3:E$39,MATCH($A77,$A$3:$A$39,0)),IF(ISBLANK(_xlpm.v),NA(),_xlpm.v))</f>
        <v>998</v>
      </c>
      <c r="F77" s="6" cm="1">
        <f t="array" ref="F77">_xlfn.LET(_xlpm.v,INDEX(F$3:F$39,MATCH($A77,$A$3:$A$39,0)),IF(ISBLANK(_xlpm.v),NA(),_xlpm.v))</f>
        <v>1000</v>
      </c>
      <c r="G77" s="6" t="e" cm="1">
        <f t="array" ref="G77">_xlfn.LET(_xlpm.v,INDEX(G$3:G$39,MATCH($A77,$A$3:$A$39,0)),IF(ISBLANK(_xlpm.v),NA(),_xlpm.v))</f>
        <v>#N/A</v>
      </c>
      <c r="H77" s="6" t="e" cm="1">
        <f t="array" ref="H77">_xlfn.LET(_xlpm.v,INDEX(H$3:H$39,MATCH($A77,$A$3:$A$39,0)),IF(ISBLANK(_xlpm.v),NA(),_xlpm.v))</f>
        <v>#N/A</v>
      </c>
      <c r="I77" s="6" t="e" cm="1">
        <f t="array" ref="I77">_xlfn.LET(_xlpm.v,INDEX(I$3:I$39,MATCH($A77,$A$3:$A$39,0)),IF(ISBLANK(_xlpm.v),NA(),_xlpm.v))</f>
        <v>#N/A</v>
      </c>
      <c r="J77" s="6" t="e" cm="1">
        <f t="array" ref="J77">_xlfn.LET(_xlpm.v,INDEX(J$3:J$39,MATCH($A77,$A$3:$A$39,0)),IF(ISBLANK(_xlpm.v),NA(),_xlpm.v))</f>
        <v>#N/A</v>
      </c>
      <c r="K77" s="6" t="e" cm="1">
        <f t="array" ref="K77">_xlfn.LET(_xlpm.v,INDEX(K$3:K$39,MATCH($A77,$A$3:$A$39,0)),IF(ISBLANK(_xlpm.v),NA(),_xlpm.v))</f>
        <v>#N/A</v>
      </c>
      <c r="L77" s="6" t="e" cm="1">
        <f t="array" ref="L77">_xlfn.LET(_xlpm.v,INDEX(L$3:L$39,MATCH($A77,$A$3:$A$39,0)),IF(ISBLANK(_xlpm.v),NA(),_xlpm.v))</f>
        <v>#N/A</v>
      </c>
      <c r="M77" s="6" t="e" cm="1">
        <f t="array" ref="M77">_xlfn.LET(_xlpm.v,INDEX(M$3:M$39,MATCH($A77,$A$3:$A$39,0)),IF(ISBLANK(_xlpm.v),NA(),_xlpm.v))</f>
        <v>#N/A</v>
      </c>
      <c r="N77" s="6" t="e" cm="1">
        <f t="array" ref="N77">_xlfn.LET(_xlpm.v,INDEX(N$3:N$39,MATCH($A77,$A$3:$A$39,0)),IF(ISBLANK(_xlpm.v),NA(),_xlpm.v))</f>
        <v>#N/A</v>
      </c>
    </row>
    <row r="78" spans="1:14" x14ac:dyDescent="0.4">
      <c r="A78" s="5">
        <v>85</v>
      </c>
      <c r="B78" s="6" cm="1">
        <f t="array" ref="B78">_xlfn.LET(_xlpm.v,INDEX(B$3:B$39,MATCH($A78,$A$3:$A$39,0)),IF(ISBLANK(_xlpm.v),NA(),_xlpm.v))</f>
        <v>948</v>
      </c>
      <c r="C78" s="6" cm="1">
        <f t="array" ref="C78">_xlfn.LET(_xlpm.v,INDEX(C$3:C$39,MATCH($A78,$A$3:$A$39,0)),IF(ISBLANK(_xlpm.v),NA(),_xlpm.v))</f>
        <v>962</v>
      </c>
      <c r="D78" s="6" cm="1">
        <f t="array" ref="D78">_xlfn.LET(_xlpm.v,INDEX(D$3:D$39,MATCH($A78,$A$3:$A$39,0)),IF(ISBLANK(_xlpm.v),NA(),_xlpm.v))</f>
        <v>965</v>
      </c>
      <c r="E78" s="6" cm="1">
        <f t="array" ref="E78">_xlfn.LET(_xlpm.v,INDEX(E$3:E$39,MATCH($A78,$A$3:$A$39,0)),IF(ISBLANK(_xlpm.v),NA(),_xlpm.v))</f>
        <v>949</v>
      </c>
      <c r="F78" s="6" cm="1">
        <f t="array" ref="F78">_xlfn.LET(_xlpm.v,INDEX(F$3:F$39,MATCH($A78,$A$3:$A$39,0)),IF(ISBLANK(_xlpm.v),NA(),_xlpm.v))</f>
        <v>955</v>
      </c>
      <c r="G78" s="6" t="e" cm="1">
        <f t="array" ref="G78">_xlfn.LET(_xlpm.v,INDEX(G$3:G$39,MATCH($A78,$A$3:$A$39,0)),IF(ISBLANK(_xlpm.v),NA(),_xlpm.v))</f>
        <v>#N/A</v>
      </c>
      <c r="H78" s="6" t="e" cm="1">
        <f t="array" ref="H78">_xlfn.LET(_xlpm.v,INDEX(H$3:H$39,MATCH($A78,$A$3:$A$39,0)),IF(ISBLANK(_xlpm.v),NA(),_xlpm.v))</f>
        <v>#N/A</v>
      </c>
      <c r="I78" s="6" t="e" cm="1">
        <f t="array" ref="I78">_xlfn.LET(_xlpm.v,INDEX(I$3:I$39,MATCH($A78,$A$3:$A$39,0)),IF(ISBLANK(_xlpm.v),NA(),_xlpm.v))</f>
        <v>#N/A</v>
      </c>
      <c r="J78" s="6" t="e" cm="1">
        <f t="array" ref="J78">_xlfn.LET(_xlpm.v,INDEX(J$3:J$39,MATCH($A78,$A$3:$A$39,0)),IF(ISBLANK(_xlpm.v),NA(),_xlpm.v))</f>
        <v>#N/A</v>
      </c>
      <c r="K78" s="6" t="e" cm="1">
        <f t="array" ref="K78">_xlfn.LET(_xlpm.v,INDEX(K$3:K$39,MATCH($A78,$A$3:$A$39,0)),IF(ISBLANK(_xlpm.v),NA(),_xlpm.v))</f>
        <v>#N/A</v>
      </c>
      <c r="L78" s="6" t="e" cm="1">
        <f t="array" ref="L78">_xlfn.LET(_xlpm.v,INDEX(L$3:L$39,MATCH($A78,$A$3:$A$39,0)),IF(ISBLANK(_xlpm.v),NA(),_xlpm.v))</f>
        <v>#N/A</v>
      </c>
      <c r="M78" s="6" t="e" cm="1">
        <f t="array" ref="M78">_xlfn.LET(_xlpm.v,INDEX(M$3:M$39,MATCH($A78,$A$3:$A$39,0)),IF(ISBLANK(_xlpm.v),NA(),_xlpm.v))</f>
        <v>#N/A</v>
      </c>
      <c r="N78" s="6" t="e" cm="1">
        <f t="array" ref="N78">_xlfn.LET(_xlpm.v,INDEX(N$3:N$39,MATCH($A78,$A$3:$A$39,0)),IF(ISBLANK(_xlpm.v),NA(),_xlpm.v))</f>
        <v>#N/A</v>
      </c>
    </row>
    <row r="79" spans="1:14" x14ac:dyDescent="0.4">
      <c r="A79" s="5">
        <v>90</v>
      </c>
      <c r="B79" s="6" cm="1">
        <f t="array" ref="B79">_xlfn.LET(_xlpm.v,INDEX(B$3:B$39,MATCH($A79,$A$3:$A$39,0)),IF(ISBLANK(_xlpm.v),NA(),_xlpm.v))</f>
        <v>842</v>
      </c>
      <c r="C79" s="6" cm="1">
        <f t="array" ref="C79">_xlfn.LET(_xlpm.v,INDEX(C$3:C$39,MATCH($A79,$A$3:$A$39,0)),IF(ISBLANK(_xlpm.v),NA(),_xlpm.v))</f>
        <v>874</v>
      </c>
      <c r="D79" s="6" cm="1">
        <f t="array" ref="D79">_xlfn.LET(_xlpm.v,INDEX(D$3:D$39,MATCH($A79,$A$3:$A$39,0)),IF(ISBLANK(_xlpm.v),NA(),_xlpm.v))</f>
        <v>888</v>
      </c>
      <c r="E79" s="6" cm="1">
        <f t="array" ref="E79">_xlfn.LET(_xlpm.v,INDEX(E$3:E$39,MATCH($A79,$A$3:$A$39,0)),IF(ISBLANK(_xlpm.v),NA(),_xlpm.v))</f>
        <v>883</v>
      </c>
      <c r="F79" s="6" cm="1">
        <f t="array" ref="F79">_xlfn.LET(_xlpm.v,INDEX(F$3:F$39,MATCH($A79,$A$3:$A$39,0)),IF(ISBLANK(_xlpm.v),NA(),_xlpm.v))</f>
        <v>890</v>
      </c>
      <c r="G79" s="6" t="e" cm="1">
        <f t="array" ref="G79">_xlfn.LET(_xlpm.v,INDEX(G$3:G$39,MATCH($A79,$A$3:$A$39,0)),IF(ISBLANK(_xlpm.v),NA(),_xlpm.v))</f>
        <v>#N/A</v>
      </c>
      <c r="H79" s="6" t="e" cm="1">
        <f t="array" ref="H79">_xlfn.LET(_xlpm.v,INDEX(H$3:H$39,MATCH($A79,$A$3:$A$39,0)),IF(ISBLANK(_xlpm.v),NA(),_xlpm.v))</f>
        <v>#N/A</v>
      </c>
      <c r="I79" s="6" t="e" cm="1">
        <f t="array" ref="I79">_xlfn.LET(_xlpm.v,INDEX(I$3:I$39,MATCH($A79,$A$3:$A$39,0)),IF(ISBLANK(_xlpm.v),NA(),_xlpm.v))</f>
        <v>#N/A</v>
      </c>
      <c r="J79" s="6" t="e" cm="1">
        <f t="array" ref="J79">_xlfn.LET(_xlpm.v,INDEX(J$3:J$39,MATCH($A79,$A$3:$A$39,0)),IF(ISBLANK(_xlpm.v),NA(),_xlpm.v))</f>
        <v>#N/A</v>
      </c>
      <c r="K79" s="6" t="e" cm="1">
        <f t="array" ref="K79">_xlfn.LET(_xlpm.v,INDEX(K$3:K$39,MATCH($A79,$A$3:$A$39,0)),IF(ISBLANK(_xlpm.v),NA(),_xlpm.v))</f>
        <v>#N/A</v>
      </c>
      <c r="L79" s="6" t="e" cm="1">
        <f t="array" ref="L79">_xlfn.LET(_xlpm.v,INDEX(L$3:L$39,MATCH($A79,$A$3:$A$39,0)),IF(ISBLANK(_xlpm.v),NA(),_xlpm.v))</f>
        <v>#N/A</v>
      </c>
      <c r="M79" s="6" t="e" cm="1">
        <f t="array" ref="M79">_xlfn.LET(_xlpm.v,INDEX(M$3:M$39,MATCH($A79,$A$3:$A$39,0)),IF(ISBLANK(_xlpm.v),NA(),_xlpm.v))</f>
        <v>#N/A</v>
      </c>
      <c r="N79" s="6" t="e" cm="1">
        <f t="array" ref="N79">_xlfn.LET(_xlpm.v,INDEX(N$3:N$39,MATCH($A79,$A$3:$A$39,0)),IF(ISBLANK(_xlpm.v),NA(),_xlpm.v))</f>
        <v>#N/A</v>
      </c>
    </row>
    <row r="80" spans="1:14" x14ac:dyDescent="0.4">
      <c r="A80">
        <v>0</v>
      </c>
      <c r="B80">
        <v>-85</v>
      </c>
      <c r="C80">
        <v>-85</v>
      </c>
      <c r="D80">
        <v>-80</v>
      </c>
      <c r="E80">
        <v>-85</v>
      </c>
      <c r="F80">
        <v>-85</v>
      </c>
    </row>
    <row r="81" spans="1:14" x14ac:dyDescent="0.4">
      <c r="B81">
        <v>5</v>
      </c>
      <c r="C81">
        <v>5</v>
      </c>
      <c r="D81">
        <v>5</v>
      </c>
      <c r="E81">
        <v>5</v>
      </c>
      <c r="F81">
        <v>5</v>
      </c>
    </row>
    <row r="82" spans="1:14" x14ac:dyDescent="0.4">
      <c r="A82" s="5" t="s">
        <v>0</v>
      </c>
      <c r="B82" s="6" cm="1">
        <f t="array" aca="1" ref="B82" ca="1">IF(AND(ISBLANK(CHOOSE(N($A$40&gt;=$A$80)+1,B$80,B$40)),ISBLANK(CHOOSE(N($A$40&gt;=$A$80)+1,B$81,B$41))),NA(),_xlfn.LET(_xlpm.r,INDIRECT("A"&amp;MATCH(B80,$A$43:$A$79,0)+ROW(B43)-1&amp;":A"&amp;MATCH(B81,$A$43:$A$79,0)+ROW(B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0.30923367241633526</v>
      </c>
      <c r="C82" s="6" cm="1">
        <f t="array" aca="1" ref="C82" ca="1">IF(AND(ISBLANK(CHOOSE(N($A$40&gt;=$A$80)+1,C$80,C$40)),ISBLANK(CHOOSE(N($A$40&gt;=$A$80)+1,C$81,C$41))),NA(),_xlfn.LET(_xlpm.r,INDIRECT("A"&amp;MATCH(C80,$A$43:$A$79,0)+ROW(C43)-1&amp;":A"&amp;MATCH(C81,$A$43:$A$79,0)+ROW(C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0.26455845496093178</v>
      </c>
      <c r="D82" s="6" cm="1">
        <f t="array" aca="1" ref="D82" ca="1">IF(AND(ISBLANK(CHOOSE(N($A$40&gt;=$A$80)+1,D$80,D$40)),ISBLANK(CHOOSE(N($A$40&gt;=$A$80)+1,D$81,D$41))),NA(),_xlfn.LET(_xlpm.r,INDIRECT("A"&amp;MATCH(D80,$A$43:$A$79,0)+ROW(D43)-1&amp;":A"&amp;MATCH(D81,$A$43:$A$79,0)+ROW(D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0.25584365325077418</v>
      </c>
      <c r="E82" s="6" cm="1">
        <f t="array" aca="1" ref="E82" ca="1">IF(AND(ISBLANK(CHOOSE(N($A$40&gt;=$A$80)+1,E$80,E$40)),ISBLANK(CHOOSE(N($A$40&gt;=$A$80)+1,E$81,E$41))),NA(),_xlfn.LET(_xlpm.r,INDIRECT("A"&amp;MATCH(E80,$A$43:$A$79,0)+ROW(E43)-1&amp;":A"&amp;MATCH(E81,$A$43:$A$79,0)+ROW(E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0.22518944419873221</v>
      </c>
      <c r="F82" s="6" cm="1">
        <f t="array" aca="1" ref="F82" ca="1">IF(AND(ISBLANK(CHOOSE(N($A$40&gt;=$A$80)+1,F$80,F$40)),ISBLANK(CHOOSE(N($A$40&gt;=$A$80)+1,F$81,F$41))),NA(),_xlfn.LET(_xlpm.r,INDIRECT("A"&amp;MATCH(F80,$A$43:$A$79,0)+ROW(F43)-1&amp;":A"&amp;MATCH(F81,$A$43:$A$79,0)+ROW(F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0.21399085950169539</v>
      </c>
      <c r="G82" s="6" t="e" cm="1">
        <f t="array" aca="1" ref="G82" ca="1">IF(AND(ISBLANK(CHOOSE(N($A$40&gt;=$A$80)+1,G$80,G$40)),ISBLANK(CHOOSE(N($A$40&gt;=$A$80)+1,G$81,G$41))),NA(),_xlfn.LET(_xlpm.r,INDIRECT("A"&amp;MATCH(G80,$A$43:$A$79,0)+ROW(G43)-1&amp;":A"&amp;MATCH(G81,$A$43:$A$79,0)+ROW(G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H82" s="6" t="e" cm="1">
        <f t="array" aca="1" ref="H82" ca="1">IF(AND(ISBLANK(CHOOSE(N($A$40&gt;=$A$80)+1,H$80,H$40)),ISBLANK(CHOOSE(N($A$40&gt;=$A$80)+1,H$81,H$41))),NA(),_xlfn.LET(_xlpm.r,INDIRECT("A"&amp;MATCH(H80,$A$43:$A$79,0)+ROW(H43)-1&amp;":A"&amp;MATCH(H81,$A$43:$A$79,0)+ROW(H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I82" s="6" t="e" cm="1">
        <f t="array" aca="1" ref="I82" ca="1">IF(AND(ISBLANK(CHOOSE(N($A$40&gt;=$A$80)+1,I$80,I$40)),ISBLANK(CHOOSE(N($A$40&gt;=$A$80)+1,I$81,I$41))),NA(),_xlfn.LET(_xlpm.r,INDIRECT("A"&amp;MATCH(I80,$A$43:$A$79,0)+ROW(I43)-1&amp;":A"&amp;MATCH(I81,$A$43:$A$79,0)+ROW(I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J82" s="6" t="e" cm="1">
        <f t="array" aca="1" ref="J82" ca="1">IF(AND(ISBLANK(CHOOSE(N($A$40&gt;=$A$80)+1,J$80,J$40)),ISBLANK(CHOOSE(N($A$40&gt;=$A$80)+1,J$81,J$41))),NA(),_xlfn.LET(_xlpm.r,INDIRECT("A"&amp;MATCH(J80,$A$43:$A$79,0)+ROW(J43)-1&amp;":A"&amp;MATCH(J81,$A$43:$A$79,0)+ROW(J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K82" s="6" t="e" cm="1">
        <f t="array" aca="1" ref="K82" ca="1">IF(AND(ISBLANK(CHOOSE(N($A$40&gt;=$A$80)+1,K$80,K$40)),ISBLANK(CHOOSE(N($A$40&gt;=$A$80)+1,K$81,K$41))),NA(),_xlfn.LET(_xlpm.r,INDIRECT("A"&amp;MATCH(K80,$A$43:$A$79,0)+ROW(K43)-1&amp;":A"&amp;MATCH(K81,$A$43:$A$79,0)+ROW(K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L82" s="6" t="e" cm="1">
        <f t="array" aca="1" ref="L82" ca="1">IF(AND(ISBLANK(CHOOSE(N($A$40&gt;=$A$80)+1,L$80,L$40)),ISBLANK(CHOOSE(N($A$40&gt;=$A$80)+1,L$81,L$41))),NA(),_xlfn.LET(_xlpm.r,INDIRECT("A"&amp;MATCH(L80,$A$43:$A$79,0)+ROW(L43)-1&amp;":A"&amp;MATCH(L81,$A$43:$A$79,0)+ROW(L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M82" s="6" t="e" cm="1">
        <f t="array" aca="1" ref="M82" ca="1">IF(AND(ISBLANK(CHOOSE(N($A$40&gt;=$A$80)+1,M$80,M$40)),ISBLANK(CHOOSE(N($A$40&gt;=$A$80)+1,M$81,M$41))),NA(),_xlfn.LET(_xlpm.r,INDIRECT("A"&amp;MATCH(M80,$A$43:$A$79,0)+ROW(M43)-1&amp;":A"&amp;MATCH(M81,$A$43:$A$79,0)+ROW(M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  <c r="N82" s="6" t="e" cm="1">
        <f t="array" aca="1" ref="N82" ca="1">IF(AND(ISBLANK(CHOOSE(N($A$40&gt;=$A$80)+1,N$80,N$40)),ISBLANK(CHOOSE(N($A$40&gt;=$A$80)+1,N$81,N$41))),NA(),_xlfn.LET(_xlpm.r,INDIRECT("A"&amp;MATCH(N80,$A$43:$A$79,0)+ROW(N43)-1&amp;":A"&amp;MATCH(N81,$A$43:$A$79,0)+ROW(N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h-_xlpm.g*_xlpm.g)*_xlpm.i+_xlpm.l*(-_xlpm.e*_xlpm.h+_xlpm.f*_xlpm.g)*_xlpm.j+_xlpm.l*(_xlpm.e*_xlpm.g-_xlpm.f*_xlpm.f)*_xlpm.k))</f>
        <v>#N/A</v>
      </c>
    </row>
    <row r="83" spans="1:14" x14ac:dyDescent="0.4">
      <c r="A83" s="5" t="s">
        <v>1</v>
      </c>
      <c r="B83" s="6" cm="1">
        <f t="array" aca="1" ref="B83" ca="1">IF(AND(ISBLANK(CHOOSE(N($A$40&gt;=$A$80)+1,B$80,B$40)),ISBLANK(CHOOSE(N($A$40&gt;=$A$80)+1,B$81,B$41))),NA(),_xlfn.LET(_xlpm.r,INDIRECT("A"&amp;MATCH(B80,$A$43:$A$79,0)+ROW(B43)-1&amp;":A"&amp;MATCH(B81,$A$43:$A$79,0)+ROW(B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25.118553442429601</v>
      </c>
      <c r="C83" s="6" cm="1">
        <f t="array" aca="1" ref="C83" ca="1">IF(AND(ISBLANK(CHOOSE(N($A$40&gt;=$A$80)+1,C$80,C$40)),ISBLANK(CHOOSE(N($A$40&gt;=$A$80)+1,C$81,C$41))),NA(),_xlfn.LET(_xlpm.r,INDIRECT("A"&amp;MATCH(C80,$A$43:$A$79,0)+ROW(C43)-1&amp;":A"&amp;MATCH(C81,$A$43:$A$79,0)+ROW(C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18.363623765295586</v>
      </c>
      <c r="D83" s="6" cm="1">
        <f t="array" aca="1" ref="D83" ca="1">IF(AND(ISBLANK(CHOOSE(N($A$40&gt;=$A$80)+1,D$80,D$40)),ISBLANK(CHOOSE(N($A$40&gt;=$A$80)+1,D$81,D$41))),NA(),_xlfn.LET(_xlpm.r,INDIRECT("A"&amp;MATCH(D80,$A$43:$A$79,0)+ROW(D43)-1&amp;":A"&amp;MATCH(D81,$A$43:$A$79,0)+ROW(D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15.898077915376675</v>
      </c>
      <c r="E83" s="6" cm="1">
        <f t="array" aca="1" ref="E83" ca="1">IF(AND(ISBLANK(CHOOSE(N($A$40&gt;=$A$80)+1,E$80,E$40)),ISBLANK(CHOOSE(N($A$40&gt;=$A$80)+1,E$81,E$41))),NA(),_xlfn.LET(_xlpm.r,INDIRECT("A"&amp;MATCH(E80,$A$43:$A$79,0)+ROW(E43)-1&amp;":A"&amp;MATCH(E81,$A$43:$A$79,0)+ROW(E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12.762173079758185</v>
      </c>
      <c r="F83" s="6" cm="1">
        <f t="array" aca="1" ref="F83" ca="1">IF(AND(ISBLANK(CHOOSE(N($A$40&gt;=$A$80)+1,F$80,F$40)),ISBLANK(CHOOSE(N($A$40&gt;=$A$80)+1,F$81,F$41))),NA(),_xlfn.LET(_xlpm.r,INDIRECT("A"&amp;MATCH(F80,$A$43:$A$79,0)+ROW(F43)-1&amp;":A"&amp;MATCH(F81,$A$43:$A$79,0)+ROW(F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11.252952970661951</v>
      </c>
      <c r="G83" s="6" t="e" cm="1">
        <f t="array" aca="1" ref="G83" ca="1">IF(AND(ISBLANK(CHOOSE(N($A$40&gt;=$A$80)+1,G$80,G$40)),ISBLANK(CHOOSE(N($A$40&gt;=$A$80)+1,G$81,G$41))),NA(),_xlfn.LET(_xlpm.r,INDIRECT("A"&amp;MATCH(G80,$A$43:$A$79,0)+ROW(G43)-1&amp;":A"&amp;MATCH(G81,$A$43:$A$79,0)+ROW(G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H83" s="6" t="e" cm="1">
        <f t="array" aca="1" ref="H83" ca="1">IF(AND(ISBLANK(CHOOSE(N($A$40&gt;=$A$80)+1,H$80,H$40)),ISBLANK(CHOOSE(N($A$40&gt;=$A$80)+1,H$81,H$41))),NA(),_xlfn.LET(_xlpm.r,INDIRECT("A"&amp;MATCH(H80,$A$43:$A$79,0)+ROW(H43)-1&amp;":A"&amp;MATCH(H81,$A$43:$A$79,0)+ROW(H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I83" s="6" t="e" cm="1">
        <f t="array" aca="1" ref="I83" ca="1">IF(AND(ISBLANK(CHOOSE(N($A$40&gt;=$A$80)+1,I$80,I$40)),ISBLANK(CHOOSE(N($A$40&gt;=$A$80)+1,I$81,I$41))),NA(),_xlfn.LET(_xlpm.r,INDIRECT("A"&amp;MATCH(I80,$A$43:$A$79,0)+ROW(I43)-1&amp;":A"&amp;MATCH(I81,$A$43:$A$79,0)+ROW(I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J83" s="6" t="e" cm="1">
        <f t="array" aca="1" ref="J83" ca="1">IF(AND(ISBLANK(CHOOSE(N($A$40&gt;=$A$80)+1,J$80,J$40)),ISBLANK(CHOOSE(N($A$40&gt;=$A$80)+1,J$81,J$41))),NA(),_xlfn.LET(_xlpm.r,INDIRECT("A"&amp;MATCH(J80,$A$43:$A$79,0)+ROW(J43)-1&amp;":A"&amp;MATCH(J81,$A$43:$A$79,0)+ROW(J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K83" s="6" t="e" cm="1">
        <f t="array" aca="1" ref="K83" ca="1">IF(AND(ISBLANK(CHOOSE(N($A$40&gt;=$A$80)+1,K$80,K$40)),ISBLANK(CHOOSE(N($A$40&gt;=$A$80)+1,K$81,K$41))),NA(),_xlfn.LET(_xlpm.r,INDIRECT("A"&amp;MATCH(K80,$A$43:$A$79,0)+ROW(K43)-1&amp;":A"&amp;MATCH(K81,$A$43:$A$79,0)+ROW(K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L83" s="6" t="e" cm="1">
        <f t="array" aca="1" ref="L83" ca="1">IF(AND(ISBLANK(CHOOSE(N($A$40&gt;=$A$80)+1,L$80,L$40)),ISBLANK(CHOOSE(N($A$40&gt;=$A$80)+1,L$81,L$41))),NA(),_xlfn.LET(_xlpm.r,INDIRECT("A"&amp;MATCH(L80,$A$43:$A$79,0)+ROW(L43)-1&amp;":A"&amp;MATCH(L81,$A$43:$A$79,0)+ROW(L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M83" s="6" t="e" cm="1">
        <f t="array" aca="1" ref="M83" ca="1">IF(AND(ISBLANK(CHOOSE(N($A$40&gt;=$A$80)+1,M$80,M$40)),ISBLANK(CHOOSE(N($A$40&gt;=$A$80)+1,M$81,M$41))),NA(),_xlfn.LET(_xlpm.r,INDIRECT("A"&amp;MATCH(M80,$A$43:$A$79,0)+ROW(M43)-1&amp;":A"&amp;MATCH(M81,$A$43:$A$79,0)+ROW(M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  <c r="N83" s="6" t="e" cm="1">
        <f t="array" aca="1" ref="N83" ca="1">IF(AND(ISBLANK(CHOOSE(N($A$40&gt;=$A$80)+1,N$80,N$40)),ISBLANK(CHOOSE(N($A$40&gt;=$A$80)+1,N$81,N$41))),NA(),_xlfn.LET(_xlpm.r,INDIRECT("A"&amp;MATCH(N80,$A$43:$A$79,0)+ROW(N43)-1&amp;":A"&amp;MATCH(N81,$A$43:$A$79,0)+ROW(N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f*_xlpm.g-_xlpm.e*_xlpm.h)*_xlpm.i+_xlpm.l*(_xlpm.d*_xlpm.h-_xlpm.f*_xlpm.f)*_xlpm.j+_xlpm.l*(_xlpm.e*_xlpm.f-_xlpm.d*_xlpm.g)*_xlpm.k))</f>
        <v>#N/A</v>
      </c>
    </row>
    <row r="84" spans="1:14" x14ac:dyDescent="0.4">
      <c r="A84" s="5" t="s">
        <v>2</v>
      </c>
      <c r="B84" s="6" cm="1">
        <f t="array" aca="1" ref="B84" ca="1">IF(AND(ISBLANK(CHOOSE(N($A$40&gt;=$A$80)+1,B$80,B$40)),ISBLANK(CHOOSE(N($A$40&gt;=$A$80)+1,B$81,B$41))),NA(),_xlfn.LET(_xlpm.r,INDIRECT("A"&amp;MATCH(B80,$A$43:$A$79,0)+ROW(B43)-1&amp;":A"&amp;MATCH(B81,$A$43:$A$79,0)+ROW(B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657.56406015037646</v>
      </c>
      <c r="C84" s="6" cm="1">
        <f t="array" aca="1" ref="C84" ca="1">IF(AND(ISBLANK(CHOOSE(N($A$40&gt;=$A$80)+1,C$80,C$40)),ISBLANK(CHOOSE(N($A$40&gt;=$A$80)+1,C$81,C$41))),NA(),_xlfn.LET(_xlpm.r,INDIRECT("A"&amp;MATCH(C80,$A$43:$A$79,0)+ROW(C43)-1&amp;":A"&amp;MATCH(C81,$A$43:$A$79,0)+ROW(C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450.35889724310846</v>
      </c>
      <c r="D84" s="6" cm="1">
        <f t="array" aca="1" ref="D84" ca="1">IF(AND(ISBLANK(CHOOSE(N($A$40&gt;=$A$80)+1,D$80,D$40)),ISBLANK(CHOOSE(N($A$40&gt;=$A$80)+1,D$81,D$41))),NA(),_xlfn.LET(_xlpm.r,INDIRECT("A"&amp;MATCH(D80,$A$43:$A$79,0)+ROW(D43)-1&amp;":A"&amp;MATCH(D81,$A$43:$A$79,0)+ROW(D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373.40299277605777</v>
      </c>
      <c r="E84" s="6" cm="1">
        <f t="array" aca="1" ref="E84" ca="1">IF(AND(ISBLANK(CHOOSE(N($A$40&gt;=$A$80)+1,E$80,E$40)),ISBLANK(CHOOSE(N($A$40&gt;=$A$80)+1,E$81,E$41))),NA(),_xlfn.LET(_xlpm.r,INDIRECT("A"&amp;MATCH(E80,$A$43:$A$79,0)+ROW(E43)-1&amp;":A"&amp;MATCH(E81,$A$43:$A$79,0)+ROW(E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308.60751879699274</v>
      </c>
      <c r="F84" s="6" cm="1">
        <f t="array" aca="1" ref="F84" ca="1">IF(AND(ISBLANK(CHOOSE(N($A$40&gt;=$A$80)+1,F$80,F$40)),ISBLANK(CHOOSE(N($A$40&gt;=$A$80)+1,F$81,F$41))),NA(),_xlfn.LET(_xlpm.r,INDIRECT("A"&amp;MATCH(F80,$A$43:$A$79,0)+ROW(F43)-1&amp;":A"&amp;MATCH(F81,$A$43:$A$79,0)+ROW(F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275.13433583959932</v>
      </c>
      <c r="G84" s="6" t="e" cm="1">
        <f t="array" aca="1" ref="G84" ca="1">IF(AND(ISBLANK(CHOOSE(N($A$40&gt;=$A$80)+1,G$80,G$40)),ISBLANK(CHOOSE(N($A$40&gt;=$A$80)+1,G$81,G$41))),NA(),_xlfn.LET(_xlpm.r,INDIRECT("A"&amp;MATCH(G80,$A$43:$A$79,0)+ROW(G43)-1&amp;":A"&amp;MATCH(G81,$A$43:$A$79,0)+ROW(G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H84" s="6" t="e" cm="1">
        <f t="array" aca="1" ref="H84" ca="1">IF(AND(ISBLANK(CHOOSE(N($A$40&gt;=$A$80)+1,H$80,H$40)),ISBLANK(CHOOSE(N($A$40&gt;=$A$80)+1,H$81,H$41))),NA(),_xlfn.LET(_xlpm.r,INDIRECT("A"&amp;MATCH(H80,$A$43:$A$79,0)+ROW(H43)-1&amp;":A"&amp;MATCH(H81,$A$43:$A$79,0)+ROW(H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I84" s="6" t="e" cm="1">
        <f t="array" aca="1" ref="I84" ca="1">IF(AND(ISBLANK(CHOOSE(N($A$40&gt;=$A$80)+1,I$80,I$40)),ISBLANK(CHOOSE(N($A$40&gt;=$A$80)+1,I$81,I$41))),NA(),_xlfn.LET(_xlpm.r,INDIRECT("A"&amp;MATCH(I80,$A$43:$A$79,0)+ROW(I43)-1&amp;":A"&amp;MATCH(I81,$A$43:$A$79,0)+ROW(I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J84" s="6" t="e" cm="1">
        <f t="array" aca="1" ref="J84" ca="1">IF(AND(ISBLANK(CHOOSE(N($A$40&gt;=$A$80)+1,J$80,J$40)),ISBLANK(CHOOSE(N($A$40&gt;=$A$80)+1,J$81,J$41))),NA(),_xlfn.LET(_xlpm.r,INDIRECT("A"&amp;MATCH(J80,$A$43:$A$79,0)+ROW(J43)-1&amp;":A"&amp;MATCH(J81,$A$43:$A$79,0)+ROW(J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K84" s="6" t="e" cm="1">
        <f t="array" aca="1" ref="K84" ca="1">IF(AND(ISBLANK(CHOOSE(N($A$40&gt;=$A$80)+1,K$80,K$40)),ISBLANK(CHOOSE(N($A$40&gt;=$A$80)+1,K$81,K$41))),NA(),_xlfn.LET(_xlpm.r,INDIRECT("A"&amp;MATCH(K80,$A$43:$A$79,0)+ROW(K43)-1&amp;":A"&amp;MATCH(K81,$A$43:$A$79,0)+ROW(K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L84" s="6" t="e" cm="1">
        <f t="array" aca="1" ref="L84" ca="1">IF(AND(ISBLANK(CHOOSE(N($A$40&gt;=$A$80)+1,L$80,L$40)),ISBLANK(CHOOSE(N($A$40&gt;=$A$80)+1,L$81,L$41))),NA(),_xlfn.LET(_xlpm.r,INDIRECT("A"&amp;MATCH(L80,$A$43:$A$79,0)+ROW(L43)-1&amp;":A"&amp;MATCH(L81,$A$43:$A$79,0)+ROW(L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M84" s="6" t="e" cm="1">
        <f t="array" aca="1" ref="M84" ca="1">IF(AND(ISBLANK(CHOOSE(N($A$40&gt;=$A$80)+1,M$80,M$40)),ISBLANK(CHOOSE(N($A$40&gt;=$A$80)+1,M$81,M$41))),NA(),_xlfn.LET(_xlpm.r,INDIRECT("A"&amp;MATCH(M80,$A$43:$A$79,0)+ROW(M43)-1&amp;":A"&amp;MATCH(M81,$A$43:$A$79,0)+ROW(M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  <c r="N84" s="6" t="e" cm="1">
        <f t="array" aca="1" ref="N84" ca="1">IF(AND(ISBLANK(CHOOSE(N($A$40&gt;=$A$80)+1,N$80,N$40)),ISBLANK(CHOOSE(N($A$40&gt;=$A$80)+1,N$81,N$41))),NA(),_xlfn.LET(_xlpm.r,INDIRECT("A"&amp;MATCH(N80,$A$43:$A$79,0)+ROW(N43)-1&amp;":A"&amp;MATCH(N81,$A$43:$A$79,0)+ROW(N43)-1),_xlpm.d,SUM(_xlpm.r^4),_xlpm.e,SUM(_xlpm.r^3),_xlpm.f,SUM(_xlpm.r^2),_xlpm.g,SUM(_xlpm.r),_xlpm.h,COUNTA(_xlpm.r),_xlpm.i,SUM(_xlpm.r^2*INDIRECT(ADDRESS(MIN(ROW(_xlpm.r)),COLUMN())&amp;":"&amp;ADDRESS(MAX(ROW(_xlpm.r)),COLUMN()))),_xlpm.j,SUM(_xlpm.r*INDIRECT(ADDRESS(MIN(ROW(_xlpm.r)),COLUMN())&amp;":"&amp;ADDRESS(MAX(ROW(_xlpm.r)),COLUMN()))),_xlpm.k,SUM(INDIRECT(ADDRESS(MIN(ROW(_xlpm.r)),COLUMN())&amp;":"&amp;ADDRESS(MAX(ROW(_xlpm.r)),COLUMN()))),_xlpm.l,1/(_xlpm.d*_xlpm.f*_xlpm.h+_xlpm.e*_xlpm.f*_xlpm.g+_xlpm.e*_xlpm.f*_xlpm.g-_xlpm.f^3-_xlpm.e^2*_xlpm.h-_xlpm.d*_xlpm.g^2),_xlpm.l*(_xlpm.e*_xlpm.g-_xlpm.f*_xlpm.f)*_xlpm.i+_xlpm.l*(_xlpm.e*_xlpm.f-_xlpm.d*_xlpm.g)*_xlpm.j+_xlpm.l*(_xlpm.d*_xlpm.f-_xlpm.e*_xlpm.e)*_xlpm.k))</f>
        <v>#N/A</v>
      </c>
    </row>
    <row r="85" spans="1:14" x14ac:dyDescent="0.4">
      <c r="A85" s="5" t="s">
        <v>3</v>
      </c>
      <c r="B85" s="6">
        <f t="shared" ref="B85:N85" ca="1" si="1">IF(AND(ISBLANK(CHOOSE(N($A$40&gt;=$A$80)+1,B$80,B$40)),ISBLANK(CHOOSE(N($A$40&gt;=$A$80)+1,B$81,B$41))),NA(),(-B83)/(2*B82))</f>
        <v>-40.61419515888192</v>
      </c>
      <c r="C85" s="6">
        <f t="shared" ca="1" si="1"/>
        <v>-34.706174421844509</v>
      </c>
      <c r="D85" s="6">
        <f t="shared" ca="1" si="1"/>
        <v>-31.069908737961956</v>
      </c>
      <c r="E85" s="6">
        <f t="shared" ca="1" si="1"/>
        <v>-28.336525997407374</v>
      </c>
      <c r="F85" s="6">
        <f t="shared" ca="1" si="1"/>
        <v>-26.293069238718576</v>
      </c>
      <c r="G85" s="6" t="e">
        <f t="shared" si="1"/>
        <v>#N/A</v>
      </c>
      <c r="H85" s="6" t="e">
        <f t="shared" si="1"/>
        <v>#N/A</v>
      </c>
      <c r="I85" s="6" t="e">
        <f t="shared" si="1"/>
        <v>#N/A</v>
      </c>
      <c r="J85" s="6" t="e">
        <f t="shared" si="1"/>
        <v>#N/A</v>
      </c>
      <c r="K85" s="6" t="e">
        <f t="shared" si="1"/>
        <v>#N/A</v>
      </c>
      <c r="L85" s="6" t="e">
        <f t="shared" si="1"/>
        <v>#N/A</v>
      </c>
      <c r="M85" s="6" t="e">
        <f t="shared" si="1"/>
        <v>#N/A</v>
      </c>
      <c r="N85" s="6" t="e">
        <f t="shared" si="1"/>
        <v>#N/A</v>
      </c>
    </row>
    <row r="86" spans="1:14" x14ac:dyDescent="0.4">
      <c r="A86" s="5" t="s">
        <v>4</v>
      </c>
      <c r="B86" s="6">
        <f t="shared" ref="B86:N86" ca="1" si="2">IF(AND(ISBLANK(CHOOSE(N($A$40&gt;=$A$80)+1,B$80,B$40)),ISBLANK(CHOOSE(N($A$40&gt;=$A$80)+1,B$81,B$41))),NA(),B82*B85^2+B83*B85+B84)</f>
        <v>147.47914434055593</v>
      </c>
      <c r="C86" s="6">
        <f t="shared" ca="1" si="2"/>
        <v>131.69333253536968</v>
      </c>
      <c r="D86" s="6">
        <f t="shared" ca="1" si="2"/>
        <v>126.42707780617692</v>
      </c>
      <c r="E86" s="6">
        <f t="shared" ca="1" si="2"/>
        <v>127.78969416800257</v>
      </c>
      <c r="F86" s="6">
        <f t="shared" ca="1" si="2"/>
        <v>127.19700004077004</v>
      </c>
      <c r="G86" s="6" t="e">
        <f t="shared" si="2"/>
        <v>#N/A</v>
      </c>
      <c r="H86" s="6" t="e">
        <f t="shared" si="2"/>
        <v>#N/A</v>
      </c>
      <c r="I86" s="6" t="e">
        <f t="shared" si="2"/>
        <v>#N/A</v>
      </c>
      <c r="J86" s="6" t="e">
        <f t="shared" si="2"/>
        <v>#N/A</v>
      </c>
      <c r="K86" s="6" t="e">
        <f t="shared" si="2"/>
        <v>#N/A</v>
      </c>
      <c r="L86" s="6" t="e">
        <f t="shared" si="2"/>
        <v>#N/A</v>
      </c>
      <c r="M86" s="6" t="e">
        <f t="shared" si="2"/>
        <v>#N/A</v>
      </c>
      <c r="N86" s="6" t="e">
        <f t="shared" si="2"/>
        <v>#N/A</v>
      </c>
    </row>
    <row r="87" spans="1:14" ht="19.5" thickBot="1" x14ac:dyDescent="0.45">
      <c r="A87" s="10" t="s">
        <v>5</v>
      </c>
      <c r="B87" s="11" cm="1">
        <f t="array" aca="1" ref="B87" ca="1">IF(AND(ISBLANK(CHOOSE(N($A$40&gt;=$A$80)+1,B$80,B$40)),ISBLANK(CHOOSE(N($A$40&gt;=$A$80)+1,B$81,B$41))),NA(),_xlfn.LET(_xlpm.a,INDIRECT("A"&amp;MATCH(B80,$A$43:$A$79,0)+ROW(B43)-1&amp;":A"&amp;MATCH(B81,$A$43:$A$79,0)+ROW(B43)-1),_xlpm.b,INDIRECT(ADDRESS(MATCH(B80,$A$43:$A$79,0)+ROW(B43)-1,COLUMN())&amp;":"&amp;ADDRESS(MATCH(B81,$A$43:$A$79,0)+ROW(B43)-1,COLUMN())),1-SUM((B82*_xlpm.a^2+B83*_xlpm.a+B84-_xlpm.b)^2)/SUM((_xlpm.b-AVERAGE(_xlpm.b))^2)))</f>
        <v>0.99204852384530906</v>
      </c>
      <c r="C87" s="11" cm="1">
        <f t="array" aca="1" ref="C87" ca="1">IF(AND(ISBLANK(CHOOSE(N($A$40&gt;=$A$80)+1,C$80,C$40)),ISBLANK(CHOOSE(N($A$40&gt;=$A$80)+1,C$81,C$41))),NA(),_xlfn.LET(_xlpm.a,INDIRECT("A"&amp;MATCH(C80,$A$43:$A$79,0)+ROW(C43)-1&amp;":A"&amp;MATCH(C81,$A$43:$A$79,0)+ROW(C43)-1),_xlpm.b,INDIRECT(ADDRESS(MATCH(C80,$A$43:$A$79,0)+ROW(C43)-1,COLUMN())&amp;":"&amp;ADDRESS(MATCH(C81,$A$43:$A$79,0)+ROW(C43)-1,COLUMN())),1-SUM((C82*_xlpm.a^2+C83*_xlpm.a+C84-_xlpm.b)^2)/SUM((_xlpm.b-AVERAGE(_xlpm.b))^2)))</f>
        <v>0.97609046837600555</v>
      </c>
      <c r="D87" s="11" cm="1">
        <f t="array" aca="1" ref="D87" ca="1">IF(AND(ISBLANK(CHOOSE(N($A$40&gt;=$A$80)+1,D$80,D$40)),ISBLANK(CHOOSE(N($A$40&gt;=$A$80)+1,D$81,D$41))),NA(),_xlfn.LET(_xlpm.a,INDIRECT("A"&amp;MATCH(D80,$A$43:$A$79,0)+ROW(D43)-1&amp;":A"&amp;MATCH(D81,$A$43:$A$79,0)+ROW(D43)-1),_xlpm.b,INDIRECT(ADDRESS(MATCH(D80,$A$43:$A$79,0)+ROW(D43)-1,COLUMN())&amp;":"&amp;ADDRESS(MATCH(D81,$A$43:$A$79,0)+ROW(D43)-1,COLUMN())),1-SUM((D82*_xlpm.a^2+D83*_xlpm.a+D84-_xlpm.b)^2)/SUM((_xlpm.b-AVERAGE(_xlpm.b))^2)))</f>
        <v>0.9952277291529622</v>
      </c>
      <c r="E87" s="11" cm="1">
        <f t="array" aca="1" ref="E87" ca="1">IF(AND(ISBLANK(CHOOSE(N($A$40&gt;=$A$80)+1,E$80,E$40)),ISBLANK(CHOOSE(N($A$40&gt;=$A$80)+1,E$81,E$41))),NA(),_xlfn.LET(_xlpm.a,INDIRECT("A"&amp;MATCH(E80,$A$43:$A$79,0)+ROW(E43)-1&amp;":A"&amp;MATCH(E81,$A$43:$A$79,0)+ROW(E43)-1),_xlpm.b,INDIRECT(ADDRESS(MATCH(E80,$A$43:$A$79,0)+ROW(E43)-1,COLUMN())&amp;":"&amp;ADDRESS(MATCH(E81,$A$43:$A$79,0)+ROW(E43)-1,COLUMN())),1-SUM((E82*_xlpm.a^2+E83*_xlpm.a+E84-_xlpm.b)^2)/SUM((_xlpm.b-AVERAGE(_xlpm.b))^2)))</f>
        <v>0.9907967003660737</v>
      </c>
      <c r="F87" s="11" cm="1">
        <f t="array" aca="1" ref="F87" ca="1">IF(AND(ISBLANK(CHOOSE(N($A$40&gt;=$A$80)+1,F$80,F$40)),ISBLANK(CHOOSE(N($A$40&gt;=$A$80)+1,F$81,F$41))),NA(),_xlfn.LET(_xlpm.a,INDIRECT("A"&amp;MATCH(F80,$A$43:$A$79,0)+ROW(F43)-1&amp;":A"&amp;MATCH(F81,$A$43:$A$79,0)+ROW(F43)-1),_xlpm.b,INDIRECT(ADDRESS(MATCH(F80,$A$43:$A$79,0)+ROW(F43)-1,COLUMN())&amp;":"&amp;ADDRESS(MATCH(F81,$A$43:$A$79,0)+ROW(F43)-1,COLUMN())),1-SUM((F82*_xlpm.a^2+F83*_xlpm.a+F84-_xlpm.b)^2)/SUM((_xlpm.b-AVERAGE(_xlpm.b))^2)))</f>
        <v>0.990937692708729</v>
      </c>
      <c r="G87" s="11" t="e" cm="1">
        <f t="array" aca="1" ref="G87" ca="1">IF(AND(ISBLANK(CHOOSE(N($A$40&gt;=$A$80)+1,G$80,G$40)),ISBLANK(CHOOSE(N($A$40&gt;=$A$80)+1,G$81,G$41))),NA(),_xlfn.LET(_xlpm.a,INDIRECT("A"&amp;MATCH(G80,$A$43:$A$79,0)+ROW(G43)-1&amp;":A"&amp;MATCH(G81,$A$43:$A$79,0)+ROW(G43)-1),_xlpm.b,INDIRECT(ADDRESS(MATCH(G80,$A$43:$A$79,0)+ROW(G43)-1,COLUMN())&amp;":"&amp;ADDRESS(MATCH(G81,$A$43:$A$79,0)+ROW(G43)-1,COLUMN())),1-SUM((G82*_xlpm.a^2+G83*_xlpm.a+G84-_xlpm.b)^2)/SUM((_xlpm.b-AVERAGE(_xlpm.b))^2)))</f>
        <v>#N/A</v>
      </c>
      <c r="H87" s="11" t="e" cm="1">
        <f t="array" aca="1" ref="H87" ca="1">IF(AND(ISBLANK(CHOOSE(N($A$40&gt;=$A$80)+1,H$80,H$40)),ISBLANK(CHOOSE(N($A$40&gt;=$A$80)+1,H$81,H$41))),NA(),_xlfn.LET(_xlpm.a,INDIRECT("A"&amp;MATCH(H80,$A$43:$A$79,0)+ROW(H43)-1&amp;":A"&amp;MATCH(H81,$A$43:$A$79,0)+ROW(H43)-1),_xlpm.b,INDIRECT(ADDRESS(MATCH(H80,$A$43:$A$79,0)+ROW(H43)-1,COLUMN())&amp;":"&amp;ADDRESS(MATCH(H81,$A$43:$A$79,0)+ROW(H43)-1,COLUMN())),1-SUM((H82*_xlpm.a^2+H83*_xlpm.a+H84-_xlpm.b)^2)/SUM((_xlpm.b-AVERAGE(_xlpm.b))^2)))</f>
        <v>#N/A</v>
      </c>
      <c r="I87" s="11" t="e" cm="1">
        <f t="array" aca="1" ref="I87" ca="1">IF(AND(ISBLANK(CHOOSE(N($A$40&gt;=$A$80)+1,I$80,I$40)),ISBLANK(CHOOSE(N($A$40&gt;=$A$80)+1,I$81,I$41))),NA(),_xlfn.LET(_xlpm.a,INDIRECT("A"&amp;MATCH(I80,$A$43:$A$79,0)+ROW(I43)-1&amp;":A"&amp;MATCH(I81,$A$43:$A$79,0)+ROW(I43)-1),_xlpm.b,INDIRECT(ADDRESS(MATCH(I80,$A$43:$A$79,0)+ROW(I43)-1,COLUMN())&amp;":"&amp;ADDRESS(MATCH(I81,$A$43:$A$79,0)+ROW(I43)-1,COLUMN())),1-SUM((I82*_xlpm.a^2+I83*_xlpm.a+I84-_xlpm.b)^2)/SUM((_xlpm.b-AVERAGE(_xlpm.b))^2)))</f>
        <v>#N/A</v>
      </c>
      <c r="J87" s="11" t="e" cm="1">
        <f t="array" aca="1" ref="J87" ca="1">IF(AND(ISBLANK(CHOOSE(N($A$40&gt;=$A$80)+1,J$80,J$40)),ISBLANK(CHOOSE(N($A$40&gt;=$A$80)+1,J$81,J$41))),NA(),_xlfn.LET(_xlpm.a,INDIRECT("A"&amp;MATCH(J80,$A$43:$A$79,0)+ROW(J43)-1&amp;":A"&amp;MATCH(J81,$A$43:$A$79,0)+ROW(J43)-1),_xlpm.b,INDIRECT(ADDRESS(MATCH(J80,$A$43:$A$79,0)+ROW(J43)-1,COLUMN())&amp;":"&amp;ADDRESS(MATCH(J81,$A$43:$A$79,0)+ROW(J43)-1,COLUMN())),1-SUM((J82*_xlpm.a^2+J83*_xlpm.a+J84-_xlpm.b)^2)/SUM((_xlpm.b-AVERAGE(_xlpm.b))^2)))</f>
        <v>#N/A</v>
      </c>
      <c r="K87" s="11" t="e" cm="1">
        <f t="array" aca="1" ref="K87" ca="1">IF(AND(ISBLANK(CHOOSE(N($A$40&gt;=$A$80)+1,K$80,K$40)),ISBLANK(CHOOSE(N($A$40&gt;=$A$80)+1,K$81,K$41))),NA(),_xlfn.LET(_xlpm.a,INDIRECT("A"&amp;MATCH(K80,$A$43:$A$79,0)+ROW(K43)-1&amp;":A"&amp;MATCH(K81,$A$43:$A$79,0)+ROW(K43)-1),_xlpm.b,INDIRECT(ADDRESS(MATCH(K80,$A$43:$A$79,0)+ROW(K43)-1,COLUMN())&amp;":"&amp;ADDRESS(MATCH(K81,$A$43:$A$79,0)+ROW(K43)-1,COLUMN())),1-SUM((K82*_xlpm.a^2+K83*_xlpm.a+K84-_xlpm.b)^2)/SUM((_xlpm.b-AVERAGE(_xlpm.b))^2)))</f>
        <v>#N/A</v>
      </c>
      <c r="L87" s="11" t="e" cm="1">
        <f t="array" aca="1" ref="L87" ca="1">IF(AND(ISBLANK(CHOOSE(N($A$40&gt;=$A$80)+1,L$80,L$40)),ISBLANK(CHOOSE(N($A$40&gt;=$A$80)+1,L$81,L$41))),NA(),_xlfn.LET(_xlpm.a,INDIRECT("A"&amp;MATCH(L80,$A$43:$A$79,0)+ROW(L43)-1&amp;":A"&amp;MATCH(L81,$A$43:$A$79,0)+ROW(L43)-1),_xlpm.b,INDIRECT(ADDRESS(MATCH(L80,$A$43:$A$79,0)+ROW(L43)-1,COLUMN())&amp;":"&amp;ADDRESS(MATCH(L81,$A$43:$A$79,0)+ROW(L43)-1,COLUMN())),1-SUM((L82*_xlpm.a^2+L83*_xlpm.a+L84-_xlpm.b)^2)/SUM((_xlpm.b-AVERAGE(_xlpm.b))^2)))</f>
        <v>#N/A</v>
      </c>
      <c r="M87" s="11" t="e" cm="1">
        <f t="array" aca="1" ref="M87" ca="1">IF(AND(ISBLANK(CHOOSE(N($A$40&gt;=$A$80)+1,M$80,M$40)),ISBLANK(CHOOSE(N($A$40&gt;=$A$80)+1,M$81,M$41))),NA(),_xlfn.LET(_xlpm.a,INDIRECT("A"&amp;MATCH(M80,$A$43:$A$79,0)+ROW(M43)-1&amp;":A"&amp;MATCH(M81,$A$43:$A$79,0)+ROW(M43)-1),_xlpm.b,INDIRECT(ADDRESS(MATCH(M80,$A$43:$A$79,0)+ROW(M43)-1,COLUMN())&amp;":"&amp;ADDRESS(MATCH(M81,$A$43:$A$79,0)+ROW(M43)-1,COLUMN())),1-SUM((M82*_xlpm.a^2+M83*_xlpm.a+M84-_xlpm.b)^2)/SUM((_xlpm.b-AVERAGE(_xlpm.b))^2)))</f>
        <v>#N/A</v>
      </c>
      <c r="N87" s="11" t="e" cm="1">
        <f t="array" aca="1" ref="N87" ca="1">IF(AND(ISBLANK(CHOOSE(N($A$40&gt;=$A$80)+1,N$80,N$40)),ISBLANK(CHOOSE(N($A$40&gt;=$A$80)+1,N$81,N$41))),NA(),_xlfn.LET(_xlpm.a,INDIRECT("A"&amp;MATCH(N80,$A$43:$A$79,0)+ROW(N43)-1&amp;":A"&amp;MATCH(N81,$A$43:$A$79,0)+ROW(N43)-1),_xlpm.b,INDIRECT(ADDRESS(MATCH(N80,$A$43:$A$79,0)+ROW(N43)-1,COLUMN())&amp;":"&amp;ADDRESS(MATCH(N81,$A$43:$A$79,0)+ROW(N43)-1,COLUMN())),1-SUM((N82*_xlpm.a^2+N83*_xlpm.a+N84-_xlpm.b)^2)/SUM((_xlpm.b-AVERAGE(_xlpm.b))^2)))</f>
        <v>#N/A</v>
      </c>
    </row>
    <row r="89" spans="1:14" x14ac:dyDescent="0.4">
      <c r="A89" s="5" t="e">
        <f>IF(AND(COUNTIF(CHOOSE(N($A$40&gt;=$A$80)+1,$B$80:$N$80,$B$40:$N$40),"&lt;="&amp;-90)&gt;0,COUNTIF(CHOOSE(N($A$40&gt;=$A$80)+1,$B$81:$N$81,$B$41:$N$41),"&gt;="&amp;-90)&gt;0),-90,NA())</f>
        <v>#N/A</v>
      </c>
      <c r="B89" s="6" t="e">
        <f t="shared" ref="B89:N89" si="3">IF(ISNA(B43),NA(),IF(AND($A89&gt;=CHOOSE(N($A$40&gt;=$A$80)+1,B$80,B$40),$A89&lt;=CHOOSE(N($A$40&gt;=$A$80)+1,B$81,B$41)),B43,NA()))</f>
        <v>#N/A</v>
      </c>
      <c r="C89" s="6" t="e">
        <f t="shared" si="3"/>
        <v>#N/A</v>
      </c>
      <c r="D89" s="6" t="e">
        <f t="shared" si="3"/>
        <v>#N/A</v>
      </c>
      <c r="E89" s="6" t="e">
        <f t="shared" si="3"/>
        <v>#N/A</v>
      </c>
      <c r="F89" s="6" t="e">
        <f t="shared" si="3"/>
        <v>#N/A</v>
      </c>
      <c r="G89" s="6" t="e">
        <f t="shared" si="3"/>
        <v>#N/A</v>
      </c>
      <c r="H89" s="6" t="e">
        <f t="shared" si="3"/>
        <v>#N/A</v>
      </c>
      <c r="I89" s="6" t="e">
        <f t="shared" si="3"/>
        <v>#N/A</v>
      </c>
      <c r="J89" s="6" t="e">
        <f t="shared" si="3"/>
        <v>#N/A</v>
      </c>
      <c r="K89" s="6" t="e">
        <f t="shared" si="3"/>
        <v>#N/A</v>
      </c>
      <c r="L89" s="6" t="e">
        <f t="shared" si="3"/>
        <v>#N/A</v>
      </c>
      <c r="M89" s="6" t="e">
        <f t="shared" si="3"/>
        <v>#N/A</v>
      </c>
      <c r="N89" s="6" t="e">
        <f t="shared" si="3"/>
        <v>#N/A</v>
      </c>
    </row>
    <row r="90" spans="1:14" x14ac:dyDescent="0.4">
      <c r="A90" s="5">
        <f>IF(AND(COUNTIF(CHOOSE(N($A$40&gt;=$A$80)+1,$B$80:$N$80,$B$40:$N$40),"&lt;="&amp;-85)&gt;0,COUNTIF(CHOOSE(N($A$40&gt;=$A$80)+1,$B$81:$N$81,$B$41:$N$41),"&gt;="&amp;-85)&gt;0),-85,NA())</f>
        <v>-85</v>
      </c>
      <c r="B90" s="6" t="e">
        <f t="shared" ref="B90:N90" si="4">IF(ISNA(B44),NA(),IF(AND($A90&gt;=CHOOSE(N($A$40&gt;=$A$80)+1,B$80,B$40),$A90&lt;=CHOOSE(N($A$40&gt;=$A$80)+1,B$81,B$41)),B44,NA()))</f>
        <v>#N/A</v>
      </c>
      <c r="C90" s="6">
        <f t="shared" si="4"/>
        <v>769</v>
      </c>
      <c r="D90" s="6" t="e">
        <f t="shared" si="4"/>
        <v>#N/A</v>
      </c>
      <c r="E90" s="6">
        <f t="shared" si="4"/>
        <v>800</v>
      </c>
      <c r="F90" s="6">
        <f t="shared" si="4"/>
        <v>812</v>
      </c>
      <c r="G90" s="6" t="e">
        <f t="shared" si="4"/>
        <v>#N/A</v>
      </c>
      <c r="H90" s="6" t="e">
        <f t="shared" si="4"/>
        <v>#N/A</v>
      </c>
      <c r="I90" s="6" t="e">
        <f t="shared" si="4"/>
        <v>#N/A</v>
      </c>
      <c r="J90" s="6" t="e">
        <f t="shared" si="4"/>
        <v>#N/A</v>
      </c>
      <c r="K90" s="6" t="e">
        <f t="shared" si="4"/>
        <v>#N/A</v>
      </c>
      <c r="L90" s="6" t="e">
        <f t="shared" si="4"/>
        <v>#N/A</v>
      </c>
      <c r="M90" s="6" t="e">
        <f t="shared" si="4"/>
        <v>#N/A</v>
      </c>
      <c r="N90" s="6" t="e">
        <f t="shared" si="4"/>
        <v>#N/A</v>
      </c>
    </row>
    <row r="91" spans="1:14" x14ac:dyDescent="0.4">
      <c r="A91" s="5">
        <f>IF(AND(COUNTIF(CHOOSE(N($A$40&gt;=$A$80)+1,$B$80:$N$80,$B$40:$N$40),"&lt;="&amp;-80)&gt;0,COUNTIF(CHOOSE(N($A$40&gt;=$A$80)+1,$B$81:$N$81,$B$41:$N$41),"&gt;="&amp;-80)&gt;0),-80,NA())</f>
        <v>-80</v>
      </c>
      <c r="B91" s="6" t="e">
        <f t="shared" ref="B91:N91" si="5">IF(ISNA(B45),NA(),IF(AND($A91&gt;=CHOOSE(N($A$40&gt;=$A$80)+1,B$80,B$40),$A91&lt;=CHOOSE(N($A$40&gt;=$A$80)+1,B$81,B$41)),B45,NA()))</f>
        <v>#N/A</v>
      </c>
      <c r="C91" s="6">
        <f t="shared" si="5"/>
        <v>671</v>
      </c>
      <c r="D91" s="6">
        <f t="shared" si="5"/>
        <v>711</v>
      </c>
      <c r="E91" s="6">
        <f t="shared" si="5"/>
        <v>718</v>
      </c>
      <c r="F91" s="6">
        <f t="shared" si="5"/>
        <v>739</v>
      </c>
      <c r="G91" s="6" t="e">
        <f t="shared" si="5"/>
        <v>#N/A</v>
      </c>
      <c r="H91" s="6" t="e">
        <f t="shared" si="5"/>
        <v>#N/A</v>
      </c>
      <c r="I91" s="6" t="e">
        <f t="shared" si="5"/>
        <v>#N/A</v>
      </c>
      <c r="J91" s="6" t="e">
        <f t="shared" si="5"/>
        <v>#N/A</v>
      </c>
      <c r="K91" s="6" t="e">
        <f t="shared" si="5"/>
        <v>#N/A</v>
      </c>
      <c r="L91" s="6" t="e">
        <f t="shared" si="5"/>
        <v>#N/A</v>
      </c>
      <c r="M91" s="6" t="e">
        <f t="shared" si="5"/>
        <v>#N/A</v>
      </c>
      <c r="N91" s="6" t="e">
        <f t="shared" si="5"/>
        <v>#N/A</v>
      </c>
    </row>
    <row r="92" spans="1:14" x14ac:dyDescent="0.4">
      <c r="A92" s="5">
        <f>IF(AND(COUNTIF(CHOOSE(N($A$40&gt;=$A$80)+1,$B$80:$N$80,$B$40:$N$40),"&lt;="&amp;-75)&gt;0,COUNTIF(CHOOSE(N($A$40&gt;=$A$80)+1,$B$81:$N$81,$B$41:$N$41),"&gt;="&amp;-75)&gt;0),-75,NA())</f>
        <v>-75</v>
      </c>
      <c r="B92" s="6">
        <f t="shared" ref="B92:N92" si="6">IF(ISNA(B46),NA(),IF(AND($A92&gt;=CHOOSE(N($A$40&gt;=$A$80)+1,B$80,B$40),$A92&lt;=CHOOSE(N($A$40&gt;=$A$80)+1,B$81,B$41)),B46,NA()))</f>
        <v>533</v>
      </c>
      <c r="C92" s="6">
        <f t="shared" si="6"/>
        <v>578</v>
      </c>
      <c r="D92" s="6">
        <f t="shared" si="6"/>
        <v>618</v>
      </c>
      <c r="E92" s="6">
        <f t="shared" si="6"/>
        <v>644</v>
      </c>
      <c r="F92" s="6">
        <f t="shared" si="6"/>
        <v>652</v>
      </c>
      <c r="G92" s="6" t="e">
        <f t="shared" si="6"/>
        <v>#N/A</v>
      </c>
      <c r="H92" s="6" t="e">
        <f t="shared" si="6"/>
        <v>#N/A</v>
      </c>
      <c r="I92" s="6" t="e">
        <f t="shared" si="6"/>
        <v>#N/A</v>
      </c>
      <c r="J92" s="6" t="e">
        <f t="shared" si="6"/>
        <v>#N/A</v>
      </c>
      <c r="K92" s="6" t="e">
        <f t="shared" si="6"/>
        <v>#N/A</v>
      </c>
      <c r="L92" s="6" t="e">
        <f t="shared" si="6"/>
        <v>#N/A</v>
      </c>
      <c r="M92" s="6" t="e">
        <f t="shared" si="6"/>
        <v>#N/A</v>
      </c>
      <c r="N92" s="6" t="e">
        <f t="shared" si="6"/>
        <v>#N/A</v>
      </c>
    </row>
    <row r="93" spans="1:14" x14ac:dyDescent="0.4">
      <c r="A93" s="5">
        <f>IF(AND(COUNTIF(CHOOSE(N($A$40&gt;=$A$80)+1,$B$80:$N$80,$B$40:$N$40),"&lt;="&amp;-70)&gt;0,COUNTIF(CHOOSE(N($A$40&gt;=$A$80)+1,$B$81:$N$81,$B$41:$N$41),"&gt;="&amp;-70)&gt;0),-70,NA())</f>
        <v>-70</v>
      </c>
      <c r="B93" s="6">
        <f t="shared" ref="B93:N93" si="7">IF(ISNA(B47),NA(),IF(AND($A93&gt;=CHOOSE(N($A$40&gt;=$A$80)+1,B$80,B$40),$A93&lt;=CHOOSE(N($A$40&gt;=$A$80)+1,B$81,B$41)),B47,NA()))</f>
        <v>436</v>
      </c>
      <c r="C93" s="6">
        <f t="shared" si="7"/>
        <v>474</v>
      </c>
      <c r="D93" s="6">
        <f t="shared" si="7"/>
        <v>518</v>
      </c>
      <c r="E93" s="6">
        <f t="shared" si="7"/>
        <v>539</v>
      </c>
      <c r="F93" s="6">
        <f t="shared" si="7"/>
        <v>558</v>
      </c>
      <c r="G93" s="6" t="e">
        <f t="shared" si="7"/>
        <v>#N/A</v>
      </c>
      <c r="H93" s="6" t="e">
        <f t="shared" si="7"/>
        <v>#N/A</v>
      </c>
      <c r="I93" s="6" t="e">
        <f t="shared" si="7"/>
        <v>#N/A</v>
      </c>
      <c r="J93" s="6" t="e">
        <f t="shared" si="7"/>
        <v>#N/A</v>
      </c>
      <c r="K93" s="6" t="e">
        <f t="shared" si="7"/>
        <v>#N/A</v>
      </c>
      <c r="L93" s="6" t="e">
        <f t="shared" si="7"/>
        <v>#N/A</v>
      </c>
      <c r="M93" s="6" t="e">
        <f t="shared" si="7"/>
        <v>#N/A</v>
      </c>
      <c r="N93" s="6" t="e">
        <f t="shared" si="7"/>
        <v>#N/A</v>
      </c>
    </row>
    <row r="94" spans="1:14" x14ac:dyDescent="0.4">
      <c r="A94" s="5">
        <f>IF(AND(COUNTIF(CHOOSE(N($A$40&gt;=$A$80)+1,$B$80:$N$80,$B$40:$N$40),"&lt;="&amp;-65)&gt;0,COUNTIF(CHOOSE(N($A$40&gt;=$A$80)+1,$B$81:$N$81,$B$41:$N$41),"&gt;="&amp;-65)&gt;0),-65,NA())</f>
        <v>-65</v>
      </c>
      <c r="B94" s="6">
        <f t="shared" ref="B94:N94" si="8">IF(ISNA(B48),NA(),IF(AND($A94&gt;=CHOOSE(N($A$40&gt;=$A$80)+1,B$80,B$40),$A94&lt;=CHOOSE(N($A$40&gt;=$A$80)+1,B$81,B$41)),B48,NA()))</f>
        <v>354</v>
      </c>
      <c r="C94" s="6">
        <f t="shared" si="8"/>
        <v>389</v>
      </c>
      <c r="D94" s="6">
        <f t="shared" si="8"/>
        <v>436</v>
      </c>
      <c r="E94" s="6">
        <f t="shared" si="8"/>
        <v>453</v>
      </c>
      <c r="F94" s="6">
        <f t="shared" si="8"/>
        <v>471</v>
      </c>
      <c r="G94" s="6" t="e">
        <f t="shared" si="8"/>
        <v>#N/A</v>
      </c>
      <c r="H94" s="6" t="e">
        <f t="shared" si="8"/>
        <v>#N/A</v>
      </c>
      <c r="I94" s="6" t="e">
        <f t="shared" si="8"/>
        <v>#N/A</v>
      </c>
      <c r="J94" s="6" t="e">
        <f t="shared" si="8"/>
        <v>#N/A</v>
      </c>
      <c r="K94" s="6" t="e">
        <f t="shared" si="8"/>
        <v>#N/A</v>
      </c>
      <c r="L94" s="6" t="e">
        <f t="shared" si="8"/>
        <v>#N/A</v>
      </c>
      <c r="M94" s="6" t="e">
        <f t="shared" si="8"/>
        <v>#N/A</v>
      </c>
      <c r="N94" s="6" t="e">
        <f t="shared" si="8"/>
        <v>#N/A</v>
      </c>
    </row>
    <row r="95" spans="1:14" x14ac:dyDescent="0.4">
      <c r="A95" s="5">
        <f>IF(AND(COUNTIF(CHOOSE(N($A$40&gt;=$A$80)+1,$B$80:$N$80,$B$40:$N$40),"&lt;="&amp;-60)&gt;0,COUNTIF(CHOOSE(N($A$40&gt;=$A$80)+1,$B$81:$N$81,$B$41:$N$41),"&gt;="&amp;-60)&gt;0),-60,NA())</f>
        <v>-60</v>
      </c>
      <c r="B95" s="6">
        <f t="shared" ref="B95:N95" si="9">IF(ISNA(B49),NA(),IF(AND($A95&gt;=CHOOSE(N($A$40&gt;=$A$80)+1,B$80,B$40),$A95&lt;=CHOOSE(N($A$40&gt;=$A$80)+1,B$81,B$41)),B49,NA()))</f>
        <v>250</v>
      </c>
      <c r="C95" s="6">
        <f t="shared" si="9"/>
        <v>313</v>
      </c>
      <c r="D95" s="6">
        <f t="shared" si="9"/>
        <v>363</v>
      </c>
      <c r="E95" s="6">
        <f t="shared" si="9"/>
        <v>372</v>
      </c>
      <c r="F95" s="6">
        <f t="shared" si="9"/>
        <v>395</v>
      </c>
      <c r="G95" s="6" t="e">
        <f t="shared" si="9"/>
        <v>#N/A</v>
      </c>
      <c r="H95" s="6" t="e">
        <f t="shared" si="9"/>
        <v>#N/A</v>
      </c>
      <c r="I95" s="6" t="e">
        <f t="shared" si="9"/>
        <v>#N/A</v>
      </c>
      <c r="J95" s="6" t="e">
        <f t="shared" si="9"/>
        <v>#N/A</v>
      </c>
      <c r="K95" s="6" t="e">
        <f t="shared" si="9"/>
        <v>#N/A</v>
      </c>
      <c r="L95" s="6" t="e">
        <f t="shared" si="9"/>
        <v>#N/A</v>
      </c>
      <c r="M95" s="6" t="e">
        <f t="shared" si="9"/>
        <v>#N/A</v>
      </c>
      <c r="N95" s="6" t="e">
        <f t="shared" si="9"/>
        <v>#N/A</v>
      </c>
    </row>
    <row r="96" spans="1:14" x14ac:dyDescent="0.4">
      <c r="A96" s="5">
        <f>IF(AND(COUNTIF(CHOOSE(N($A$40&gt;=$A$80)+1,$B$80:$N$80,$B$40:$N$40),"&lt;="&amp;-55)&gt;0,COUNTIF(CHOOSE(N($A$40&gt;=$A$80)+1,$B$81:$N$81,$B$41:$N$41),"&gt;="&amp;-55)&gt;0),-55,NA())</f>
        <v>-55</v>
      </c>
      <c r="B96" s="6">
        <f t="shared" ref="B96:N96" si="10">IF(ISNA(B50),NA(),IF(AND($A96&gt;=CHOOSE(N($A$40&gt;=$A$80)+1,B$80,B$40),$A96&lt;=CHOOSE(N($A$40&gt;=$A$80)+1,B$81,B$41)),B50,NA()))</f>
        <v>199</v>
      </c>
      <c r="C96" s="6">
        <f t="shared" si="10"/>
        <v>250</v>
      </c>
      <c r="D96" s="6">
        <f t="shared" si="10"/>
        <v>289</v>
      </c>
      <c r="E96" s="6">
        <f t="shared" si="10"/>
        <v>314</v>
      </c>
      <c r="F96" s="6">
        <f t="shared" si="10"/>
        <v>322</v>
      </c>
      <c r="G96" s="6" t="e">
        <f t="shared" si="10"/>
        <v>#N/A</v>
      </c>
      <c r="H96" s="6" t="e">
        <f t="shared" si="10"/>
        <v>#N/A</v>
      </c>
      <c r="I96" s="6" t="e">
        <f t="shared" si="10"/>
        <v>#N/A</v>
      </c>
      <c r="J96" s="6" t="e">
        <f t="shared" si="10"/>
        <v>#N/A</v>
      </c>
      <c r="K96" s="6" t="e">
        <f t="shared" si="10"/>
        <v>#N/A</v>
      </c>
      <c r="L96" s="6" t="e">
        <f t="shared" si="10"/>
        <v>#N/A</v>
      </c>
      <c r="M96" s="6" t="e">
        <f t="shared" si="10"/>
        <v>#N/A</v>
      </c>
      <c r="N96" s="6" t="e">
        <f t="shared" si="10"/>
        <v>#N/A</v>
      </c>
    </row>
    <row r="97" spans="1:14" x14ac:dyDescent="0.4">
      <c r="A97" s="5">
        <f>IF(AND(COUNTIF(CHOOSE(N($A$40&gt;=$A$80)+1,$B$80:$N$80,$B$40:$N$40),"&lt;="&amp;-50)&gt;0,COUNTIF(CHOOSE(N($A$40&gt;=$A$80)+1,$B$81:$N$81,$B$41:$N$41),"&gt;="&amp;-50)&gt;0),-50,NA())</f>
        <v>-50</v>
      </c>
      <c r="B97" s="6">
        <f t="shared" ref="B97:N97" si="11">IF(ISNA(B51),NA(),IF(AND($A97&gt;=CHOOSE(N($A$40&gt;=$A$80)+1,B$80,B$40),$A97&lt;=CHOOSE(N($A$40&gt;=$A$80)+1,B$81,B$41)),B51,NA()))</f>
        <v>160.80000000000001</v>
      </c>
      <c r="C97" s="6">
        <f t="shared" si="11"/>
        <v>193</v>
      </c>
      <c r="D97" s="6">
        <f t="shared" si="11"/>
        <v>224</v>
      </c>
      <c r="E97" s="6">
        <f t="shared" si="11"/>
        <v>245</v>
      </c>
      <c r="F97" s="6">
        <f t="shared" si="11"/>
        <v>264</v>
      </c>
      <c r="G97" s="6" t="e">
        <f t="shared" si="11"/>
        <v>#N/A</v>
      </c>
      <c r="H97" s="6" t="e">
        <f t="shared" si="11"/>
        <v>#N/A</v>
      </c>
      <c r="I97" s="6" t="e">
        <f t="shared" si="11"/>
        <v>#N/A</v>
      </c>
      <c r="J97" s="6" t="e">
        <f t="shared" si="11"/>
        <v>#N/A</v>
      </c>
      <c r="K97" s="6" t="e">
        <f t="shared" si="11"/>
        <v>#N/A</v>
      </c>
      <c r="L97" s="6" t="e">
        <f t="shared" si="11"/>
        <v>#N/A</v>
      </c>
      <c r="M97" s="6" t="e">
        <f t="shared" si="11"/>
        <v>#N/A</v>
      </c>
      <c r="N97" s="6" t="e">
        <f t="shared" si="11"/>
        <v>#N/A</v>
      </c>
    </row>
    <row r="98" spans="1:14" x14ac:dyDescent="0.4">
      <c r="A98" s="5">
        <f>IF(AND(COUNTIF(CHOOSE(N($A$40&gt;=$A$80)+1,$B$80:$N$80,$B$40:$N$40),"&lt;="&amp;-45)&gt;0,COUNTIF(CHOOSE(N($A$40&gt;=$A$80)+1,$B$81:$N$81,$B$41:$N$41),"&gt;="&amp;-45)&gt;0),-45,NA())</f>
        <v>-45</v>
      </c>
      <c r="B98" s="6">
        <f t="shared" ref="B98:N98" si="12">IF(ISNA(B52),NA(),IF(AND($A98&gt;=CHOOSE(N($A$40&gt;=$A$80)+1,B$80,B$40),$A98&lt;=CHOOSE(N($A$40&gt;=$A$80)+1,B$81,B$41)),B52,NA()))</f>
        <v>136.4</v>
      </c>
      <c r="C98" s="6">
        <f t="shared" si="12"/>
        <v>159</v>
      </c>
      <c r="D98" s="6">
        <f t="shared" si="12"/>
        <v>181</v>
      </c>
      <c r="E98" s="6">
        <f t="shared" si="12"/>
        <v>188</v>
      </c>
      <c r="F98" s="6">
        <f t="shared" si="12"/>
        <v>207</v>
      </c>
      <c r="G98" s="6" t="e">
        <f t="shared" si="12"/>
        <v>#N/A</v>
      </c>
      <c r="H98" s="6" t="e">
        <f t="shared" si="12"/>
        <v>#N/A</v>
      </c>
      <c r="I98" s="6" t="e">
        <f t="shared" si="12"/>
        <v>#N/A</v>
      </c>
      <c r="J98" s="6" t="e">
        <f t="shared" si="12"/>
        <v>#N/A</v>
      </c>
      <c r="K98" s="6" t="e">
        <f t="shared" si="12"/>
        <v>#N/A</v>
      </c>
      <c r="L98" s="6" t="e">
        <f t="shared" si="12"/>
        <v>#N/A</v>
      </c>
      <c r="M98" s="6" t="e">
        <f t="shared" si="12"/>
        <v>#N/A</v>
      </c>
      <c r="N98" s="6" t="e">
        <f t="shared" si="12"/>
        <v>#N/A</v>
      </c>
    </row>
    <row r="99" spans="1:14" x14ac:dyDescent="0.4">
      <c r="A99" s="5">
        <f>IF(AND(COUNTIF(CHOOSE(N($A$40&gt;=$A$80)+1,$B$80:$N$80,$B$40:$N$40),"&lt;="&amp;-40)&gt;0,COUNTIF(CHOOSE(N($A$40&gt;=$A$80)+1,$B$81:$N$81,$B$41:$N$41),"&gt;="&amp;-40)&gt;0),-40,NA())</f>
        <v>-40</v>
      </c>
      <c r="B99" s="6">
        <f t="shared" ref="B99:N99" si="13">IF(ISNA(B53),NA(),IF(AND($A99&gt;=CHOOSE(N($A$40&gt;=$A$80)+1,B$80,B$40),$A99&lt;=CHOOSE(N($A$40&gt;=$A$80)+1,B$81,B$41)),B53,NA()))</f>
        <v>131.30000000000001</v>
      </c>
      <c r="C99" s="6">
        <f t="shared" si="13"/>
        <v>130</v>
      </c>
      <c r="D99" s="6">
        <f t="shared" si="13"/>
        <v>143</v>
      </c>
      <c r="E99" s="6">
        <f t="shared" si="13"/>
        <v>149</v>
      </c>
      <c r="F99" s="6">
        <f t="shared" si="13"/>
        <v>156</v>
      </c>
      <c r="G99" s="6" t="e">
        <f t="shared" si="13"/>
        <v>#N/A</v>
      </c>
      <c r="H99" s="6" t="e">
        <f t="shared" si="13"/>
        <v>#N/A</v>
      </c>
      <c r="I99" s="6" t="e">
        <f t="shared" si="13"/>
        <v>#N/A</v>
      </c>
      <c r="J99" s="6" t="e">
        <f t="shared" si="13"/>
        <v>#N/A</v>
      </c>
      <c r="K99" s="6" t="e">
        <f t="shared" si="13"/>
        <v>#N/A</v>
      </c>
      <c r="L99" s="6" t="e">
        <f t="shared" si="13"/>
        <v>#N/A</v>
      </c>
      <c r="M99" s="6" t="e">
        <f t="shared" si="13"/>
        <v>#N/A</v>
      </c>
      <c r="N99" s="6" t="e">
        <f t="shared" si="13"/>
        <v>#N/A</v>
      </c>
    </row>
    <row r="100" spans="1:14" x14ac:dyDescent="0.4">
      <c r="A100" s="5">
        <f>IF(AND(COUNTIF(CHOOSE(N($A$40&gt;=$A$80)+1,$B$80:$N$80,$B$40:$N$40),"&lt;="&amp;-35)&gt;0,COUNTIF(CHOOSE(N($A$40&gt;=$A$80)+1,$B$81:$N$81,$B$41:$N$41),"&gt;="&amp;-35)&gt;0),-35,NA())</f>
        <v>-35</v>
      </c>
      <c r="B100" s="6">
        <f t="shared" ref="B100:N100" si="14">IF(ISNA(B54),NA(),IF(AND($A100&gt;=CHOOSE(N($A$40&gt;=$A$80)+1,B$80,B$40),$A100&lt;=CHOOSE(N($A$40&gt;=$A$80)+1,B$81,B$41)),B54,NA()))</f>
        <v>145</v>
      </c>
      <c r="C100" s="6">
        <f t="shared" si="14"/>
        <v>120</v>
      </c>
      <c r="D100" s="6">
        <f t="shared" si="14"/>
        <v>120</v>
      </c>
      <c r="E100" s="6">
        <f t="shared" si="14"/>
        <v>123</v>
      </c>
      <c r="F100" s="6">
        <f t="shared" si="14"/>
        <v>127</v>
      </c>
      <c r="G100" s="6" t="e">
        <f t="shared" si="14"/>
        <v>#N/A</v>
      </c>
      <c r="H100" s="6" t="e">
        <f t="shared" si="14"/>
        <v>#N/A</v>
      </c>
      <c r="I100" s="6" t="e">
        <f t="shared" si="14"/>
        <v>#N/A</v>
      </c>
      <c r="J100" s="6" t="e">
        <f t="shared" si="14"/>
        <v>#N/A</v>
      </c>
      <c r="K100" s="6" t="e">
        <f t="shared" si="14"/>
        <v>#N/A</v>
      </c>
      <c r="L100" s="6" t="e">
        <f t="shared" si="14"/>
        <v>#N/A</v>
      </c>
      <c r="M100" s="6" t="e">
        <f t="shared" si="14"/>
        <v>#N/A</v>
      </c>
      <c r="N100" s="6" t="e">
        <f t="shared" si="14"/>
        <v>#N/A</v>
      </c>
    </row>
    <row r="101" spans="1:14" x14ac:dyDescent="0.4">
      <c r="A101" s="5">
        <f>IF(AND(COUNTIF(CHOOSE(N($A$40&gt;=$A$80)+1,$B$80:$N$80,$B$40:$N$40),"&lt;="&amp;-30)&gt;0,COUNTIF(CHOOSE(N($A$40&gt;=$A$80)+1,$B$81:$N$81,$B$41:$N$41),"&gt;="&amp;-30)&gt;0),-30,NA())</f>
        <v>-30</v>
      </c>
      <c r="B101" s="6">
        <f t="shared" ref="B101:N101" si="15">IF(ISNA(B55),NA(),IF(AND($A101&gt;=CHOOSE(N($A$40&gt;=$A$80)+1,B$80,B$40),$A101&lt;=CHOOSE(N($A$40&gt;=$A$80)+1,B$81,B$41)),B55,NA()))</f>
        <v>173.3</v>
      </c>
      <c r="C101" s="6">
        <f t="shared" si="15"/>
        <v>128</v>
      </c>
      <c r="D101" s="6">
        <f t="shared" si="15"/>
        <v>113</v>
      </c>
      <c r="E101" s="6">
        <f t="shared" si="15"/>
        <v>109</v>
      </c>
      <c r="F101" s="6">
        <f t="shared" si="15"/>
        <v>109</v>
      </c>
      <c r="G101" s="6" t="e">
        <f t="shared" si="15"/>
        <v>#N/A</v>
      </c>
      <c r="H101" s="6" t="e">
        <f t="shared" si="15"/>
        <v>#N/A</v>
      </c>
      <c r="I101" s="6" t="e">
        <f t="shared" si="15"/>
        <v>#N/A</v>
      </c>
      <c r="J101" s="6" t="e">
        <f t="shared" si="15"/>
        <v>#N/A</v>
      </c>
      <c r="K101" s="6" t="e">
        <f t="shared" si="15"/>
        <v>#N/A</v>
      </c>
      <c r="L101" s="6" t="e">
        <f t="shared" si="15"/>
        <v>#N/A</v>
      </c>
      <c r="M101" s="6" t="e">
        <f t="shared" si="15"/>
        <v>#N/A</v>
      </c>
      <c r="N101" s="6" t="e">
        <f t="shared" si="15"/>
        <v>#N/A</v>
      </c>
    </row>
    <row r="102" spans="1:14" x14ac:dyDescent="0.4">
      <c r="A102" s="5">
        <f>IF(AND(COUNTIF(CHOOSE(N($A$40&gt;=$A$80)+1,$B$80:$N$80,$B$40:$N$40),"&lt;="&amp;-25)&gt;0,COUNTIF(CHOOSE(N($A$40&gt;=$A$80)+1,$B$81:$N$81,$B$41:$N$41),"&gt;="&amp;-25)&gt;0),-25,NA())</f>
        <v>-25</v>
      </c>
      <c r="B102" s="6">
        <f t="shared" ref="B102:N102" si="16">IF(ISNA(B56),NA(),IF(AND($A102&gt;=CHOOSE(N($A$40&gt;=$A$80)+1,B$80,B$40),$A102&lt;=CHOOSE(N($A$40&gt;=$A$80)+1,B$81,B$41)),B56,NA()))</f>
        <v>227.4</v>
      </c>
      <c r="C102" s="6">
        <f t="shared" si="16"/>
        <v>151</v>
      </c>
      <c r="D102" s="6">
        <f t="shared" si="16"/>
        <v>122</v>
      </c>
      <c r="E102" s="6">
        <f t="shared" si="16"/>
        <v>110</v>
      </c>
      <c r="F102" s="6">
        <f t="shared" si="16"/>
        <v>105</v>
      </c>
      <c r="G102" s="6" t="e">
        <f t="shared" si="16"/>
        <v>#N/A</v>
      </c>
      <c r="H102" s="6" t="e">
        <f t="shared" si="16"/>
        <v>#N/A</v>
      </c>
      <c r="I102" s="6" t="e">
        <f t="shared" si="16"/>
        <v>#N/A</v>
      </c>
      <c r="J102" s="6" t="e">
        <f t="shared" si="16"/>
        <v>#N/A</v>
      </c>
      <c r="K102" s="6" t="e">
        <f t="shared" si="16"/>
        <v>#N/A</v>
      </c>
      <c r="L102" s="6" t="e">
        <f t="shared" si="16"/>
        <v>#N/A</v>
      </c>
      <c r="M102" s="6" t="e">
        <f t="shared" si="16"/>
        <v>#N/A</v>
      </c>
      <c r="N102" s="6" t="e">
        <f t="shared" si="16"/>
        <v>#N/A</v>
      </c>
    </row>
    <row r="103" spans="1:14" x14ac:dyDescent="0.4">
      <c r="A103" s="5">
        <f>IF(AND(COUNTIF(CHOOSE(N($A$40&gt;=$A$80)+1,$B$80:$N$80,$B$40:$N$40),"&lt;="&amp;-20)&gt;0,COUNTIF(CHOOSE(N($A$40&gt;=$A$80)+1,$B$81:$N$81,$B$41:$N$41),"&gt;="&amp;-20)&gt;0),-20,NA())</f>
        <v>-20</v>
      </c>
      <c r="B103" s="6">
        <f t="shared" ref="B103:N103" si="17">IF(ISNA(B57),NA(),IF(AND($A103&gt;=CHOOSE(N($A$40&gt;=$A$80)+1,B$80,B$40),$A103&lt;=CHOOSE(N($A$40&gt;=$A$80)+1,B$81,B$41)),B57,NA()))</f>
        <v>294.7</v>
      </c>
      <c r="C103" s="6">
        <f t="shared" si="17"/>
        <v>196</v>
      </c>
      <c r="D103" s="6">
        <f t="shared" si="17"/>
        <v>147</v>
      </c>
      <c r="E103" s="6">
        <f t="shared" si="17"/>
        <v>125</v>
      </c>
      <c r="F103" s="6">
        <f t="shared" si="17"/>
        <v>115</v>
      </c>
      <c r="G103" s="6" t="e">
        <f t="shared" si="17"/>
        <v>#N/A</v>
      </c>
      <c r="H103" s="6" t="e">
        <f t="shared" si="17"/>
        <v>#N/A</v>
      </c>
      <c r="I103" s="6" t="e">
        <f t="shared" si="17"/>
        <v>#N/A</v>
      </c>
      <c r="J103" s="6" t="e">
        <f t="shared" si="17"/>
        <v>#N/A</v>
      </c>
      <c r="K103" s="6" t="e">
        <f t="shared" si="17"/>
        <v>#N/A</v>
      </c>
      <c r="L103" s="6" t="e">
        <f t="shared" si="17"/>
        <v>#N/A</v>
      </c>
      <c r="M103" s="6" t="e">
        <f t="shared" si="17"/>
        <v>#N/A</v>
      </c>
      <c r="N103" s="6" t="e">
        <f t="shared" si="17"/>
        <v>#N/A</v>
      </c>
    </row>
    <row r="104" spans="1:14" x14ac:dyDescent="0.4">
      <c r="A104" s="5">
        <f>IF(AND(COUNTIF(CHOOSE(N($A$40&gt;=$A$80)+1,$B$80:$N$80,$B$40:$N$40),"&lt;="&amp;-15)&gt;0,COUNTIF(CHOOSE(N($A$40&gt;=$A$80)+1,$B$81:$N$81,$B$41:$N$41),"&gt;="&amp;-15)&gt;0),-15,NA())</f>
        <v>-15</v>
      </c>
      <c r="B104" s="6">
        <f t="shared" ref="B104:N104" si="18">IF(ISNA(B58),NA(),IF(AND($A104&gt;=CHOOSE(N($A$40&gt;=$A$80)+1,B$80,B$40),$A104&lt;=CHOOSE(N($A$40&gt;=$A$80)+1,B$81,B$41)),B58,NA()))</f>
        <v>368</v>
      </c>
      <c r="C104" s="6">
        <f t="shared" si="18"/>
        <v>246</v>
      </c>
      <c r="D104" s="6">
        <f t="shared" si="18"/>
        <v>186</v>
      </c>
      <c r="E104" s="6">
        <f t="shared" si="18"/>
        <v>157</v>
      </c>
      <c r="F104" s="6">
        <f t="shared" si="18"/>
        <v>140</v>
      </c>
      <c r="G104" s="6" t="e">
        <f t="shared" si="18"/>
        <v>#N/A</v>
      </c>
      <c r="H104" s="6" t="e">
        <f t="shared" si="18"/>
        <v>#N/A</v>
      </c>
      <c r="I104" s="6" t="e">
        <f t="shared" si="18"/>
        <v>#N/A</v>
      </c>
      <c r="J104" s="6" t="e">
        <f t="shared" si="18"/>
        <v>#N/A</v>
      </c>
      <c r="K104" s="6" t="e">
        <f t="shared" si="18"/>
        <v>#N/A</v>
      </c>
      <c r="L104" s="6" t="e">
        <f t="shared" si="18"/>
        <v>#N/A</v>
      </c>
      <c r="M104" s="6" t="e">
        <f t="shared" si="18"/>
        <v>#N/A</v>
      </c>
      <c r="N104" s="6" t="e">
        <f t="shared" si="18"/>
        <v>#N/A</v>
      </c>
    </row>
    <row r="105" spans="1:14" x14ac:dyDescent="0.4">
      <c r="A105" s="5">
        <f>IF(AND(COUNTIF(CHOOSE(N($A$40&gt;=$A$80)+1,$B$80:$N$80,$B$40:$N$40),"&lt;="&amp;-10)&gt;0,COUNTIF(CHOOSE(N($A$40&gt;=$A$80)+1,$B$81:$N$81,$B$41:$N$41),"&gt;="&amp;-10)&gt;0),-10,NA())</f>
        <v>-10</v>
      </c>
      <c r="B105" s="6">
        <f t="shared" ref="B105:N105" si="19">IF(ISNA(B59),NA(),IF(AND($A105&gt;=CHOOSE(N($A$40&gt;=$A$80)+1,B$80,B$40),$A105&lt;=CHOOSE(N($A$40&gt;=$A$80)+1,B$81,B$41)),B59,NA()))</f>
        <v>466</v>
      </c>
      <c r="C105" s="6">
        <f t="shared" si="19"/>
        <v>323</v>
      </c>
      <c r="D105" s="6">
        <f t="shared" si="19"/>
        <v>240</v>
      </c>
      <c r="E105" s="6">
        <f t="shared" si="19"/>
        <v>198</v>
      </c>
      <c r="F105" s="6">
        <f t="shared" si="19"/>
        <v>182</v>
      </c>
      <c r="G105" s="6" t="e">
        <f t="shared" si="19"/>
        <v>#N/A</v>
      </c>
      <c r="H105" s="6" t="e">
        <f t="shared" si="19"/>
        <v>#N/A</v>
      </c>
      <c r="I105" s="6" t="e">
        <f t="shared" si="19"/>
        <v>#N/A</v>
      </c>
      <c r="J105" s="6" t="e">
        <f t="shared" si="19"/>
        <v>#N/A</v>
      </c>
      <c r="K105" s="6" t="e">
        <f t="shared" si="19"/>
        <v>#N/A</v>
      </c>
      <c r="L105" s="6" t="e">
        <f t="shared" si="19"/>
        <v>#N/A</v>
      </c>
      <c r="M105" s="6" t="e">
        <f t="shared" si="19"/>
        <v>#N/A</v>
      </c>
      <c r="N105" s="6" t="e">
        <f t="shared" si="19"/>
        <v>#N/A</v>
      </c>
    </row>
    <row r="106" spans="1:14" x14ac:dyDescent="0.4">
      <c r="A106" s="5">
        <f>IF(AND(COUNTIF(CHOOSE(N($A$40&gt;=$A$80)+1,$B$80:$N$80,$B$40:$N$40),"&lt;="&amp;-5)&gt;0,COUNTIF(CHOOSE(N($A$40&gt;=$A$80)+1,$B$81:$N$81,$B$41:$N$41),"&gt;="&amp;-5)&gt;0),-5,NA())</f>
        <v>-5</v>
      </c>
      <c r="B106" s="6">
        <f t="shared" ref="B106:N106" si="20">IF(ISNA(B60),NA(),IF(AND($A106&gt;=CHOOSE(N($A$40&gt;=$A$80)+1,B$80,B$40),$A106&lt;=CHOOSE(N($A$40&gt;=$A$80)+1,B$81,B$41)),B60,NA()))</f>
        <v>557</v>
      </c>
      <c r="C106" s="6">
        <f t="shared" si="20"/>
        <v>257</v>
      </c>
      <c r="D106" s="6">
        <f t="shared" si="20"/>
        <v>307</v>
      </c>
      <c r="E106" s="6">
        <f t="shared" si="20"/>
        <v>255</v>
      </c>
      <c r="F106" s="6">
        <f t="shared" si="20"/>
        <v>229</v>
      </c>
      <c r="G106" s="6" t="e">
        <f t="shared" si="20"/>
        <v>#N/A</v>
      </c>
      <c r="H106" s="6" t="e">
        <f t="shared" si="20"/>
        <v>#N/A</v>
      </c>
      <c r="I106" s="6" t="e">
        <f t="shared" si="20"/>
        <v>#N/A</v>
      </c>
      <c r="J106" s="6" t="e">
        <f t="shared" si="20"/>
        <v>#N/A</v>
      </c>
      <c r="K106" s="6" t="e">
        <f t="shared" si="20"/>
        <v>#N/A</v>
      </c>
      <c r="L106" s="6" t="e">
        <f t="shared" si="20"/>
        <v>#N/A</v>
      </c>
      <c r="M106" s="6" t="e">
        <f t="shared" si="20"/>
        <v>#N/A</v>
      </c>
      <c r="N106" s="6" t="e">
        <f t="shared" si="20"/>
        <v>#N/A</v>
      </c>
    </row>
    <row r="107" spans="1:14" x14ac:dyDescent="0.4">
      <c r="A107" s="5">
        <f>IF(AND(COUNTIF(CHOOSE(N($A$40&gt;=$A$80)+1,$B$80:$N$80,$B$40:$N$40),"&lt;="&amp;0)&gt;0,COUNTIF(CHOOSE(N($A$40&gt;=$A$80)+1,$B$81:$N$81,$B$41:$N$41),"&gt;="&amp;0)&gt;0),0,NA())</f>
        <v>0</v>
      </c>
      <c r="B107" s="6">
        <f t="shared" ref="B107:N107" si="21">IF(ISNA(B61),NA(),IF(AND($A107&gt;=CHOOSE(N($A$40&gt;=$A$80)+1,B$80,B$40),$A107&lt;=CHOOSE(N($A$40&gt;=$A$80)+1,B$81,B$41)),B61,NA()))</f>
        <v>657</v>
      </c>
      <c r="C107" s="6">
        <f t="shared" si="21"/>
        <v>486</v>
      </c>
      <c r="D107" s="6">
        <f t="shared" si="21"/>
        <v>380</v>
      </c>
      <c r="E107" s="6">
        <f t="shared" si="21"/>
        <v>321</v>
      </c>
      <c r="F107" s="6">
        <f t="shared" si="21"/>
        <v>289</v>
      </c>
      <c r="G107" s="6" t="e">
        <f t="shared" si="21"/>
        <v>#N/A</v>
      </c>
      <c r="H107" s="6" t="e">
        <f t="shared" si="21"/>
        <v>#N/A</v>
      </c>
      <c r="I107" s="6" t="e">
        <f t="shared" si="21"/>
        <v>#N/A</v>
      </c>
      <c r="J107" s="6" t="e">
        <f t="shared" si="21"/>
        <v>#N/A</v>
      </c>
      <c r="K107" s="6" t="e">
        <f t="shared" si="21"/>
        <v>#N/A</v>
      </c>
      <c r="L107" s="6" t="e">
        <f t="shared" si="21"/>
        <v>#N/A</v>
      </c>
      <c r="M107" s="6" t="e">
        <f t="shared" si="21"/>
        <v>#N/A</v>
      </c>
      <c r="N107" s="6" t="e">
        <f t="shared" si="21"/>
        <v>#N/A</v>
      </c>
    </row>
    <row r="108" spans="1:14" x14ac:dyDescent="0.4">
      <c r="A108" s="5">
        <f>IF(AND(COUNTIF(CHOOSE(N($A$40&gt;=$A$80)+1,$B$80:$N$80,$B$40:$N$40),"&lt;="&amp;5)&gt;0,COUNTIF(CHOOSE(N($A$40&gt;=$A$80)+1,$B$81:$N$81,$B$41:$N$41),"&gt;="&amp;5)&gt;0),5,NA())</f>
        <v>5</v>
      </c>
      <c r="B108" s="6">
        <f t="shared" ref="B108:N108" si="22">IF(ISNA(B62),NA(),IF(AND($A108&gt;=CHOOSE(N($A$40&gt;=$A$80)+1,B$80,B$40),$A108&lt;=CHOOSE(N($A$40&gt;=$A$80)+1,B$81,B$41)),B62,NA()))</f>
        <v>754</v>
      </c>
      <c r="C108" s="6">
        <f t="shared" si="22"/>
        <v>580</v>
      </c>
      <c r="D108" s="6">
        <f t="shared" si="22"/>
        <v>467</v>
      </c>
      <c r="E108" s="6">
        <f t="shared" si="22"/>
        <v>399</v>
      </c>
      <c r="F108" s="6">
        <f t="shared" si="22"/>
        <v>358</v>
      </c>
      <c r="G108" s="6" t="e">
        <f t="shared" si="22"/>
        <v>#N/A</v>
      </c>
      <c r="H108" s="6" t="e">
        <f t="shared" si="22"/>
        <v>#N/A</v>
      </c>
      <c r="I108" s="6" t="e">
        <f t="shared" si="22"/>
        <v>#N/A</v>
      </c>
      <c r="J108" s="6" t="e">
        <f t="shared" si="22"/>
        <v>#N/A</v>
      </c>
      <c r="K108" s="6" t="e">
        <f t="shared" si="22"/>
        <v>#N/A</v>
      </c>
      <c r="L108" s="6" t="e">
        <f t="shared" si="22"/>
        <v>#N/A</v>
      </c>
      <c r="M108" s="6" t="e">
        <f t="shared" si="22"/>
        <v>#N/A</v>
      </c>
      <c r="N108" s="6" t="e">
        <f t="shared" si="22"/>
        <v>#N/A</v>
      </c>
    </row>
    <row r="109" spans="1:14" x14ac:dyDescent="0.4">
      <c r="A109" s="5">
        <f>IF(AND(COUNTIF(CHOOSE(N($A$40&gt;=$A$80)+1,$B$80:$N$80,$B$40:$N$40),"&lt;="&amp;10)&gt;0,COUNTIF(CHOOSE(N($A$40&gt;=$A$80)+1,$B$81:$N$81,$B$41:$N$41),"&gt;="&amp;10)&gt;0),10,NA())</f>
        <v>10</v>
      </c>
      <c r="B109" s="6" t="e">
        <f t="shared" ref="B109:N109" si="23">IF(ISNA(B63),NA(),IF(AND($A109&gt;=CHOOSE(N($A$40&gt;=$A$80)+1,B$80,B$40),$A109&lt;=CHOOSE(N($A$40&gt;=$A$80)+1,B$81,B$41)),B63,NA()))</f>
        <v>#N/A</v>
      </c>
      <c r="C109" s="6">
        <f t="shared" si="23"/>
        <v>676</v>
      </c>
      <c r="D109" s="6" t="e">
        <f t="shared" si="23"/>
        <v>#N/A</v>
      </c>
      <c r="E109" s="6" t="e">
        <f t="shared" si="23"/>
        <v>#N/A</v>
      </c>
      <c r="F109" s="6" t="e">
        <f t="shared" si="23"/>
        <v>#N/A</v>
      </c>
      <c r="G109" s="6" t="e">
        <f t="shared" si="23"/>
        <v>#N/A</v>
      </c>
      <c r="H109" s="6" t="e">
        <f t="shared" si="23"/>
        <v>#N/A</v>
      </c>
      <c r="I109" s="6" t="e">
        <f t="shared" si="23"/>
        <v>#N/A</v>
      </c>
      <c r="J109" s="6" t="e">
        <f t="shared" si="23"/>
        <v>#N/A</v>
      </c>
      <c r="K109" s="6" t="e">
        <f t="shared" si="23"/>
        <v>#N/A</v>
      </c>
      <c r="L109" s="6" t="e">
        <f t="shared" si="23"/>
        <v>#N/A</v>
      </c>
      <c r="M109" s="6" t="e">
        <f t="shared" si="23"/>
        <v>#N/A</v>
      </c>
      <c r="N109" s="6" t="e">
        <f t="shared" si="23"/>
        <v>#N/A</v>
      </c>
    </row>
    <row r="110" spans="1:14" x14ac:dyDescent="0.4">
      <c r="A110" s="5" t="e">
        <f>IF(AND(COUNTIF(CHOOSE(N($A$40&gt;=$A$80)+1,$B$80:$N$80,$B$40:$N$40),"&lt;="&amp;15)&gt;0,COUNTIF(CHOOSE(N($A$40&gt;=$A$80)+1,$B$81:$N$81,$B$41:$N$41),"&gt;="&amp;15)&gt;0),15,NA())</f>
        <v>#N/A</v>
      </c>
      <c r="B110" s="6" t="e">
        <f t="shared" ref="B110:N110" si="24">IF(ISNA(B64),NA(),IF(AND($A110&gt;=CHOOSE(N($A$40&gt;=$A$80)+1,B$80,B$40),$A110&lt;=CHOOSE(N($A$40&gt;=$A$80)+1,B$81,B$41)),B64,NA()))</f>
        <v>#N/A</v>
      </c>
      <c r="C110" s="6" t="e">
        <f t="shared" si="24"/>
        <v>#N/A</v>
      </c>
      <c r="D110" s="6" t="e">
        <f t="shared" si="24"/>
        <v>#N/A</v>
      </c>
      <c r="E110" s="6" t="e">
        <f t="shared" si="24"/>
        <v>#N/A</v>
      </c>
      <c r="F110" s="6" t="e">
        <f t="shared" si="24"/>
        <v>#N/A</v>
      </c>
      <c r="G110" s="6" t="e">
        <f t="shared" si="24"/>
        <v>#N/A</v>
      </c>
      <c r="H110" s="6" t="e">
        <f t="shared" si="24"/>
        <v>#N/A</v>
      </c>
      <c r="I110" s="6" t="e">
        <f t="shared" si="24"/>
        <v>#N/A</v>
      </c>
      <c r="J110" s="6" t="e">
        <f t="shared" si="24"/>
        <v>#N/A</v>
      </c>
      <c r="K110" s="6" t="e">
        <f t="shared" si="24"/>
        <v>#N/A</v>
      </c>
      <c r="L110" s="6" t="e">
        <f t="shared" si="24"/>
        <v>#N/A</v>
      </c>
      <c r="M110" s="6" t="e">
        <f t="shared" si="24"/>
        <v>#N/A</v>
      </c>
      <c r="N110" s="6" t="e">
        <f t="shared" si="24"/>
        <v>#N/A</v>
      </c>
    </row>
    <row r="111" spans="1:14" x14ac:dyDescent="0.4">
      <c r="A111" s="5" t="e">
        <f>IF(AND(COUNTIF(CHOOSE(N($A$40&gt;=$A$80)+1,$B$80:$N$80,$B$40:$N$40),"&lt;="&amp;20)&gt;0,COUNTIF(CHOOSE(N($A$40&gt;=$A$80)+1,$B$81:$N$81,$B$41:$N$41),"&gt;="&amp;20)&gt;0),20,NA())</f>
        <v>#N/A</v>
      </c>
      <c r="B111" s="6" t="e">
        <f t="shared" ref="B111:N111" si="25">IF(ISNA(B65),NA(),IF(AND($A111&gt;=CHOOSE(N($A$40&gt;=$A$80)+1,B$80,B$40),$A111&lt;=CHOOSE(N($A$40&gt;=$A$80)+1,B$81,B$41)),B65,NA()))</f>
        <v>#N/A</v>
      </c>
      <c r="C111" s="6" t="e">
        <f t="shared" si="25"/>
        <v>#N/A</v>
      </c>
      <c r="D111" s="6" t="e">
        <f t="shared" si="25"/>
        <v>#N/A</v>
      </c>
      <c r="E111" s="6" t="e">
        <f t="shared" si="25"/>
        <v>#N/A</v>
      </c>
      <c r="F111" s="6" t="e">
        <f t="shared" si="25"/>
        <v>#N/A</v>
      </c>
      <c r="G111" s="6" t="e">
        <f t="shared" si="25"/>
        <v>#N/A</v>
      </c>
      <c r="H111" s="6" t="e">
        <f t="shared" si="25"/>
        <v>#N/A</v>
      </c>
      <c r="I111" s="6" t="e">
        <f t="shared" si="25"/>
        <v>#N/A</v>
      </c>
      <c r="J111" s="6" t="e">
        <f t="shared" si="25"/>
        <v>#N/A</v>
      </c>
      <c r="K111" s="6" t="e">
        <f t="shared" si="25"/>
        <v>#N/A</v>
      </c>
      <c r="L111" s="6" t="e">
        <f t="shared" si="25"/>
        <v>#N/A</v>
      </c>
      <c r="M111" s="6" t="e">
        <f t="shared" si="25"/>
        <v>#N/A</v>
      </c>
      <c r="N111" s="6" t="e">
        <f t="shared" si="25"/>
        <v>#N/A</v>
      </c>
    </row>
    <row r="112" spans="1:14" x14ac:dyDescent="0.4">
      <c r="A112" s="5" t="e">
        <f>IF(AND(COUNTIF(CHOOSE(N($A$40&gt;=$A$80)+1,$B$80:$N$80,$B$40:$N$40),"&lt;="&amp;25)&gt;0,COUNTIF(CHOOSE(N($A$40&gt;=$A$80)+1,$B$81:$N$81,$B$41:$N$41),"&gt;="&amp;25)&gt;0),25,NA())</f>
        <v>#N/A</v>
      </c>
      <c r="B112" s="6" t="e">
        <f t="shared" ref="B112:N112" si="26">IF(ISNA(B66),NA(),IF(AND($A112&gt;=CHOOSE(N($A$40&gt;=$A$80)+1,B$80,B$40),$A112&lt;=CHOOSE(N($A$40&gt;=$A$80)+1,B$81,B$41)),B66,NA()))</f>
        <v>#N/A</v>
      </c>
      <c r="C112" s="6" t="e">
        <f t="shared" si="26"/>
        <v>#N/A</v>
      </c>
      <c r="D112" s="6" t="e">
        <f t="shared" si="26"/>
        <v>#N/A</v>
      </c>
      <c r="E112" s="6" t="e">
        <f t="shared" si="26"/>
        <v>#N/A</v>
      </c>
      <c r="F112" s="6" t="e">
        <f t="shared" si="26"/>
        <v>#N/A</v>
      </c>
      <c r="G112" s="6" t="e">
        <f t="shared" si="26"/>
        <v>#N/A</v>
      </c>
      <c r="H112" s="6" t="e">
        <f t="shared" si="26"/>
        <v>#N/A</v>
      </c>
      <c r="I112" s="6" t="e">
        <f t="shared" si="26"/>
        <v>#N/A</v>
      </c>
      <c r="J112" s="6" t="e">
        <f t="shared" si="26"/>
        <v>#N/A</v>
      </c>
      <c r="K112" s="6" t="e">
        <f t="shared" si="26"/>
        <v>#N/A</v>
      </c>
      <c r="L112" s="6" t="e">
        <f t="shared" si="26"/>
        <v>#N/A</v>
      </c>
      <c r="M112" s="6" t="e">
        <f t="shared" si="26"/>
        <v>#N/A</v>
      </c>
      <c r="N112" s="6" t="e">
        <f t="shared" si="26"/>
        <v>#N/A</v>
      </c>
    </row>
    <row r="113" spans="1:14" x14ac:dyDescent="0.4">
      <c r="A113" s="5" t="e">
        <f>IF(AND(COUNTIF(CHOOSE(N($A$40&gt;=$A$80)+1,$B$80:$N$80,$B$40:$N$40),"&lt;="&amp;30)&gt;0,COUNTIF(CHOOSE(N($A$40&gt;=$A$80)+1,$B$81:$N$81,$B$41:$N$41),"&gt;="&amp;30)&gt;0),30,NA())</f>
        <v>#N/A</v>
      </c>
      <c r="B113" s="6" t="e">
        <f t="shared" ref="B113:N113" si="27">IF(ISNA(B67),NA(),IF(AND($A113&gt;=CHOOSE(N($A$40&gt;=$A$80)+1,B$80,B$40),$A113&lt;=CHOOSE(N($A$40&gt;=$A$80)+1,B$81,B$41)),B67,NA()))</f>
        <v>#N/A</v>
      </c>
      <c r="C113" s="6" t="e">
        <f t="shared" si="27"/>
        <v>#N/A</v>
      </c>
      <c r="D113" s="6" t="e">
        <f t="shared" si="27"/>
        <v>#N/A</v>
      </c>
      <c r="E113" s="6" t="e">
        <f t="shared" si="27"/>
        <v>#N/A</v>
      </c>
      <c r="F113" s="6" t="e">
        <f t="shared" si="27"/>
        <v>#N/A</v>
      </c>
      <c r="G113" s="6" t="e">
        <f t="shared" si="27"/>
        <v>#N/A</v>
      </c>
      <c r="H113" s="6" t="e">
        <f t="shared" si="27"/>
        <v>#N/A</v>
      </c>
      <c r="I113" s="6" t="e">
        <f t="shared" si="27"/>
        <v>#N/A</v>
      </c>
      <c r="J113" s="6" t="e">
        <f t="shared" si="27"/>
        <v>#N/A</v>
      </c>
      <c r="K113" s="6" t="e">
        <f t="shared" si="27"/>
        <v>#N/A</v>
      </c>
      <c r="L113" s="6" t="e">
        <f t="shared" si="27"/>
        <v>#N/A</v>
      </c>
      <c r="M113" s="6" t="e">
        <f t="shared" si="27"/>
        <v>#N/A</v>
      </c>
      <c r="N113" s="6" t="e">
        <f t="shared" si="27"/>
        <v>#N/A</v>
      </c>
    </row>
    <row r="114" spans="1:14" x14ac:dyDescent="0.4">
      <c r="A114" s="5" t="e">
        <f>IF(AND(COUNTIF(CHOOSE(N($A$40&gt;=$A$80)+1,$B$80:$N$80,$B$40:$N$40),"&lt;="&amp;35)&gt;0,COUNTIF(CHOOSE(N($A$40&gt;=$A$80)+1,$B$81:$N$81,$B$41:$N$41),"&gt;="&amp;35)&gt;0),35,NA())</f>
        <v>#N/A</v>
      </c>
      <c r="B114" s="6" t="e">
        <f t="shared" ref="B114:N114" si="28">IF(ISNA(B68),NA(),IF(AND($A114&gt;=CHOOSE(N($A$40&gt;=$A$80)+1,B$80,B$40),$A114&lt;=CHOOSE(N($A$40&gt;=$A$80)+1,B$81,B$41)),B68,NA()))</f>
        <v>#N/A</v>
      </c>
      <c r="C114" s="6" t="e">
        <f t="shared" si="28"/>
        <v>#N/A</v>
      </c>
      <c r="D114" s="6" t="e">
        <f t="shared" si="28"/>
        <v>#N/A</v>
      </c>
      <c r="E114" s="6" t="e">
        <f t="shared" si="28"/>
        <v>#N/A</v>
      </c>
      <c r="F114" s="6" t="e">
        <f t="shared" si="28"/>
        <v>#N/A</v>
      </c>
      <c r="G114" s="6" t="e">
        <f t="shared" si="28"/>
        <v>#N/A</v>
      </c>
      <c r="H114" s="6" t="e">
        <f t="shared" si="28"/>
        <v>#N/A</v>
      </c>
      <c r="I114" s="6" t="e">
        <f t="shared" si="28"/>
        <v>#N/A</v>
      </c>
      <c r="J114" s="6" t="e">
        <f t="shared" si="28"/>
        <v>#N/A</v>
      </c>
      <c r="K114" s="6" t="e">
        <f t="shared" si="28"/>
        <v>#N/A</v>
      </c>
      <c r="L114" s="6" t="e">
        <f t="shared" si="28"/>
        <v>#N/A</v>
      </c>
      <c r="M114" s="6" t="e">
        <f t="shared" si="28"/>
        <v>#N/A</v>
      </c>
      <c r="N114" s="6" t="e">
        <f t="shared" si="28"/>
        <v>#N/A</v>
      </c>
    </row>
    <row r="115" spans="1:14" x14ac:dyDescent="0.4">
      <c r="A115" s="5" t="e">
        <f>IF(AND(COUNTIF(CHOOSE(N($A$40&gt;=$A$80)+1,$B$80:$N$80,$B$40:$N$40),"&lt;="&amp;40)&gt;0,COUNTIF(CHOOSE(N($A$40&gt;=$A$80)+1,$B$81:$N$81,$B$41:$N$41),"&gt;="&amp;40)&gt;0),40,NA())</f>
        <v>#N/A</v>
      </c>
      <c r="B115" s="6" t="e">
        <f t="shared" ref="B115:N115" si="29">IF(ISNA(B69),NA(),IF(AND($A115&gt;=CHOOSE(N($A$40&gt;=$A$80)+1,B$80,B$40),$A115&lt;=CHOOSE(N($A$40&gt;=$A$80)+1,B$81,B$41)),B69,NA()))</f>
        <v>#N/A</v>
      </c>
      <c r="C115" s="6" t="e">
        <f t="shared" si="29"/>
        <v>#N/A</v>
      </c>
      <c r="D115" s="6" t="e">
        <f t="shared" si="29"/>
        <v>#N/A</v>
      </c>
      <c r="E115" s="6" t="e">
        <f t="shared" si="29"/>
        <v>#N/A</v>
      </c>
      <c r="F115" s="6" t="e">
        <f t="shared" si="29"/>
        <v>#N/A</v>
      </c>
      <c r="G115" s="6" t="e">
        <f t="shared" si="29"/>
        <v>#N/A</v>
      </c>
      <c r="H115" s="6" t="e">
        <f t="shared" si="29"/>
        <v>#N/A</v>
      </c>
      <c r="I115" s="6" t="e">
        <f t="shared" si="29"/>
        <v>#N/A</v>
      </c>
      <c r="J115" s="6" t="e">
        <f t="shared" si="29"/>
        <v>#N/A</v>
      </c>
      <c r="K115" s="6" t="e">
        <f t="shared" si="29"/>
        <v>#N/A</v>
      </c>
      <c r="L115" s="6" t="e">
        <f t="shared" si="29"/>
        <v>#N/A</v>
      </c>
      <c r="M115" s="6" t="e">
        <f t="shared" si="29"/>
        <v>#N/A</v>
      </c>
      <c r="N115" s="6" t="e">
        <f t="shared" si="29"/>
        <v>#N/A</v>
      </c>
    </row>
    <row r="116" spans="1:14" x14ac:dyDescent="0.4">
      <c r="A116" s="5" t="e">
        <f>IF(AND(COUNTIF(CHOOSE(N($A$40&gt;=$A$80)+1,$B$80:$N$80,$B$40:$N$40),"&lt;="&amp;45)&gt;0,COUNTIF(CHOOSE(N($A$40&gt;=$A$80)+1,$B$81:$N$81,$B$41:$N$41),"&gt;="&amp;45)&gt;0),45,NA())</f>
        <v>#N/A</v>
      </c>
      <c r="B116" s="6" t="e">
        <f t="shared" ref="B116:N116" si="30">IF(ISNA(B70),NA(),IF(AND($A116&gt;=CHOOSE(N($A$40&gt;=$A$80)+1,B$80,B$40),$A116&lt;=CHOOSE(N($A$40&gt;=$A$80)+1,B$81,B$41)),B70,NA()))</f>
        <v>#N/A</v>
      </c>
      <c r="C116" s="6" t="e">
        <f t="shared" si="30"/>
        <v>#N/A</v>
      </c>
      <c r="D116" s="6" t="e">
        <f t="shared" si="30"/>
        <v>#N/A</v>
      </c>
      <c r="E116" s="6" t="e">
        <f t="shared" si="30"/>
        <v>#N/A</v>
      </c>
      <c r="F116" s="6" t="e">
        <f t="shared" si="30"/>
        <v>#N/A</v>
      </c>
      <c r="G116" s="6" t="e">
        <f t="shared" si="30"/>
        <v>#N/A</v>
      </c>
      <c r="H116" s="6" t="e">
        <f t="shared" si="30"/>
        <v>#N/A</v>
      </c>
      <c r="I116" s="6" t="e">
        <f t="shared" si="30"/>
        <v>#N/A</v>
      </c>
      <c r="J116" s="6" t="e">
        <f t="shared" si="30"/>
        <v>#N/A</v>
      </c>
      <c r="K116" s="6" t="e">
        <f t="shared" si="30"/>
        <v>#N/A</v>
      </c>
      <c r="L116" s="6" t="e">
        <f t="shared" si="30"/>
        <v>#N/A</v>
      </c>
      <c r="M116" s="6" t="e">
        <f t="shared" si="30"/>
        <v>#N/A</v>
      </c>
      <c r="N116" s="6" t="e">
        <f t="shared" si="30"/>
        <v>#N/A</v>
      </c>
    </row>
    <row r="117" spans="1:14" x14ac:dyDescent="0.4">
      <c r="A117" s="5" t="e">
        <f>IF(AND(COUNTIF(CHOOSE(N($A$40&gt;=$A$80)+1,$B$80:$N$80,$B$40:$N$40),"&lt;="&amp;50)&gt;0,COUNTIF(CHOOSE(N($A$40&gt;=$A$80)+1,$B$81:$N$81,$B$41:$N$41),"&gt;="&amp;50)&gt;0),50,NA())</f>
        <v>#N/A</v>
      </c>
      <c r="B117" s="6" t="e">
        <f t="shared" ref="B117:N117" si="31">IF(ISNA(B71),NA(),IF(AND($A117&gt;=CHOOSE(N($A$40&gt;=$A$80)+1,B$80,B$40),$A117&lt;=CHOOSE(N($A$40&gt;=$A$80)+1,B$81,B$41)),B71,NA()))</f>
        <v>#N/A</v>
      </c>
      <c r="C117" s="6" t="e">
        <f t="shared" si="31"/>
        <v>#N/A</v>
      </c>
      <c r="D117" s="6" t="e">
        <f t="shared" si="31"/>
        <v>#N/A</v>
      </c>
      <c r="E117" s="6" t="e">
        <f t="shared" si="31"/>
        <v>#N/A</v>
      </c>
      <c r="F117" s="6" t="e">
        <f t="shared" si="31"/>
        <v>#N/A</v>
      </c>
      <c r="G117" s="6" t="e">
        <f t="shared" si="31"/>
        <v>#N/A</v>
      </c>
      <c r="H117" s="6" t="e">
        <f t="shared" si="31"/>
        <v>#N/A</v>
      </c>
      <c r="I117" s="6" t="e">
        <f t="shared" si="31"/>
        <v>#N/A</v>
      </c>
      <c r="J117" s="6" t="e">
        <f t="shared" si="31"/>
        <v>#N/A</v>
      </c>
      <c r="K117" s="6" t="e">
        <f t="shared" si="31"/>
        <v>#N/A</v>
      </c>
      <c r="L117" s="6" t="e">
        <f t="shared" si="31"/>
        <v>#N/A</v>
      </c>
      <c r="M117" s="6" t="e">
        <f t="shared" si="31"/>
        <v>#N/A</v>
      </c>
      <c r="N117" s="6" t="e">
        <f t="shared" si="31"/>
        <v>#N/A</v>
      </c>
    </row>
    <row r="118" spans="1:14" x14ac:dyDescent="0.4">
      <c r="A118" s="5" t="e">
        <f>IF(AND(COUNTIF(CHOOSE(N($A$40&gt;=$A$80)+1,$B$80:$N$80,$B$40:$N$40),"&lt;="&amp;55)&gt;0,COUNTIF(CHOOSE(N($A$40&gt;=$A$80)+1,$B$81:$N$81,$B$41:$N$41),"&gt;="&amp;55)&gt;0),55,NA())</f>
        <v>#N/A</v>
      </c>
      <c r="B118" s="6" t="e">
        <f t="shared" ref="B118:N118" si="32">IF(ISNA(B72),NA(),IF(AND($A118&gt;=CHOOSE(N($A$40&gt;=$A$80)+1,B$80,B$40),$A118&lt;=CHOOSE(N($A$40&gt;=$A$80)+1,B$81,B$41)),B72,NA()))</f>
        <v>#N/A</v>
      </c>
      <c r="C118" s="6" t="e">
        <f t="shared" si="32"/>
        <v>#N/A</v>
      </c>
      <c r="D118" s="6" t="e">
        <f t="shared" si="32"/>
        <v>#N/A</v>
      </c>
      <c r="E118" s="6" t="e">
        <f t="shared" si="32"/>
        <v>#N/A</v>
      </c>
      <c r="F118" s="6" t="e">
        <f t="shared" si="32"/>
        <v>#N/A</v>
      </c>
      <c r="G118" s="6" t="e">
        <f t="shared" si="32"/>
        <v>#N/A</v>
      </c>
      <c r="H118" s="6" t="e">
        <f t="shared" si="32"/>
        <v>#N/A</v>
      </c>
      <c r="I118" s="6" t="e">
        <f t="shared" si="32"/>
        <v>#N/A</v>
      </c>
      <c r="J118" s="6" t="e">
        <f t="shared" si="32"/>
        <v>#N/A</v>
      </c>
      <c r="K118" s="6" t="e">
        <f t="shared" si="32"/>
        <v>#N/A</v>
      </c>
      <c r="L118" s="6" t="e">
        <f t="shared" si="32"/>
        <v>#N/A</v>
      </c>
      <c r="M118" s="6" t="e">
        <f t="shared" si="32"/>
        <v>#N/A</v>
      </c>
      <c r="N118" s="6" t="e">
        <f t="shared" si="32"/>
        <v>#N/A</v>
      </c>
    </row>
    <row r="119" spans="1:14" x14ac:dyDescent="0.4">
      <c r="A119" s="5" t="e">
        <f>IF(AND(COUNTIF(CHOOSE(N($A$40&gt;=$A$80)+1,$B$80:$N$80,$B$40:$N$40),"&lt;="&amp;60)&gt;0,COUNTIF(CHOOSE(N($A$40&gt;=$A$80)+1,$B$81:$N$81,$B$41:$N$41),"&gt;="&amp;60)&gt;0),60,NA())</f>
        <v>#N/A</v>
      </c>
      <c r="B119" s="6" t="e">
        <f t="shared" ref="B119:N119" si="33">IF(ISNA(B73),NA(),IF(AND($A119&gt;=CHOOSE(N($A$40&gt;=$A$80)+1,B$80,B$40),$A119&lt;=CHOOSE(N($A$40&gt;=$A$80)+1,B$81,B$41)),B73,NA()))</f>
        <v>#N/A</v>
      </c>
      <c r="C119" s="6" t="e">
        <f t="shared" si="33"/>
        <v>#N/A</v>
      </c>
      <c r="D119" s="6" t="e">
        <f t="shared" si="33"/>
        <v>#N/A</v>
      </c>
      <c r="E119" s="6" t="e">
        <f t="shared" si="33"/>
        <v>#N/A</v>
      </c>
      <c r="F119" s="6" t="e">
        <f t="shared" si="33"/>
        <v>#N/A</v>
      </c>
      <c r="G119" s="6" t="e">
        <f t="shared" si="33"/>
        <v>#N/A</v>
      </c>
      <c r="H119" s="6" t="e">
        <f t="shared" si="33"/>
        <v>#N/A</v>
      </c>
      <c r="I119" s="6" t="e">
        <f t="shared" si="33"/>
        <v>#N/A</v>
      </c>
      <c r="J119" s="6" t="e">
        <f t="shared" si="33"/>
        <v>#N/A</v>
      </c>
      <c r="K119" s="6" t="e">
        <f t="shared" si="33"/>
        <v>#N/A</v>
      </c>
      <c r="L119" s="6" t="e">
        <f t="shared" si="33"/>
        <v>#N/A</v>
      </c>
      <c r="M119" s="6" t="e">
        <f t="shared" si="33"/>
        <v>#N/A</v>
      </c>
      <c r="N119" s="6" t="e">
        <f t="shared" si="33"/>
        <v>#N/A</v>
      </c>
    </row>
    <row r="120" spans="1:14" x14ac:dyDescent="0.4">
      <c r="A120" s="5" t="e">
        <f>IF(AND(COUNTIF(CHOOSE(N($A$40&gt;=$A$80)+1,$B$80:$N$80,$B$40:$N$40),"&lt;="&amp;65)&gt;0,COUNTIF(CHOOSE(N($A$40&gt;=$A$80)+1,$B$81:$N$81,$B$41:$N$41),"&gt;="&amp;65)&gt;0),65,NA())</f>
        <v>#N/A</v>
      </c>
      <c r="B120" s="6" t="e">
        <f t="shared" ref="B120:N120" si="34">IF(ISNA(B74),NA(),IF(AND($A120&gt;=CHOOSE(N($A$40&gt;=$A$80)+1,B$80,B$40),$A120&lt;=CHOOSE(N($A$40&gt;=$A$80)+1,B$81,B$41)),B74,NA()))</f>
        <v>#N/A</v>
      </c>
      <c r="C120" s="6" t="e">
        <f t="shared" si="34"/>
        <v>#N/A</v>
      </c>
      <c r="D120" s="6" t="e">
        <f t="shared" si="34"/>
        <v>#N/A</v>
      </c>
      <c r="E120" s="6" t="e">
        <f t="shared" si="34"/>
        <v>#N/A</v>
      </c>
      <c r="F120" s="6" t="e">
        <f t="shared" si="34"/>
        <v>#N/A</v>
      </c>
      <c r="G120" s="6" t="e">
        <f t="shared" si="34"/>
        <v>#N/A</v>
      </c>
      <c r="H120" s="6" t="e">
        <f t="shared" si="34"/>
        <v>#N/A</v>
      </c>
      <c r="I120" s="6" t="e">
        <f t="shared" si="34"/>
        <v>#N/A</v>
      </c>
      <c r="J120" s="6" t="e">
        <f t="shared" si="34"/>
        <v>#N/A</v>
      </c>
      <c r="K120" s="6" t="e">
        <f t="shared" si="34"/>
        <v>#N/A</v>
      </c>
      <c r="L120" s="6" t="e">
        <f t="shared" si="34"/>
        <v>#N/A</v>
      </c>
      <c r="M120" s="6" t="e">
        <f t="shared" si="34"/>
        <v>#N/A</v>
      </c>
      <c r="N120" s="6" t="e">
        <f t="shared" si="34"/>
        <v>#N/A</v>
      </c>
    </row>
    <row r="121" spans="1:14" x14ac:dyDescent="0.4">
      <c r="A121" s="5" t="e">
        <f>IF(AND(COUNTIF(CHOOSE(N($A$40&gt;=$A$80)+1,$B$80:$N$80,$B$40:$N$40),"&lt;="&amp;70)&gt;0,COUNTIF(CHOOSE(N($A$40&gt;=$A$80)+1,$B$81:$N$81,$B$41:$N$41),"&gt;="&amp;70)&gt;0),70,NA())</f>
        <v>#N/A</v>
      </c>
      <c r="B121" s="6" t="e">
        <f t="shared" ref="B121:N121" si="35">IF(ISNA(B75),NA(),IF(AND($A121&gt;=CHOOSE(N($A$40&gt;=$A$80)+1,B$80,B$40),$A121&lt;=CHOOSE(N($A$40&gt;=$A$80)+1,B$81,B$41)),B75,NA()))</f>
        <v>#N/A</v>
      </c>
      <c r="C121" s="6" t="e">
        <f t="shared" si="35"/>
        <v>#N/A</v>
      </c>
      <c r="D121" s="6" t="e">
        <f t="shared" si="35"/>
        <v>#N/A</v>
      </c>
      <c r="E121" s="6" t="e">
        <f t="shared" si="35"/>
        <v>#N/A</v>
      </c>
      <c r="F121" s="6" t="e">
        <f t="shared" si="35"/>
        <v>#N/A</v>
      </c>
      <c r="G121" s="6" t="e">
        <f t="shared" si="35"/>
        <v>#N/A</v>
      </c>
      <c r="H121" s="6" t="e">
        <f t="shared" si="35"/>
        <v>#N/A</v>
      </c>
      <c r="I121" s="6" t="e">
        <f t="shared" si="35"/>
        <v>#N/A</v>
      </c>
      <c r="J121" s="6" t="e">
        <f t="shared" si="35"/>
        <v>#N/A</v>
      </c>
      <c r="K121" s="6" t="e">
        <f t="shared" si="35"/>
        <v>#N/A</v>
      </c>
      <c r="L121" s="6" t="e">
        <f t="shared" si="35"/>
        <v>#N/A</v>
      </c>
      <c r="M121" s="6" t="e">
        <f t="shared" si="35"/>
        <v>#N/A</v>
      </c>
      <c r="N121" s="6" t="e">
        <f t="shared" si="35"/>
        <v>#N/A</v>
      </c>
    </row>
    <row r="122" spans="1:14" x14ac:dyDescent="0.4">
      <c r="A122" s="5" t="e">
        <f>IF(AND(COUNTIF(CHOOSE(N($A$40&gt;=$A$80)+1,$B$80:$N$80,$B$40:$N$40),"&lt;="&amp;75)&gt;0,COUNTIF(CHOOSE(N($A$40&gt;=$A$80)+1,$B$81:$N$81,$B$41:$N$41),"&gt;="&amp;75)&gt;0),75,NA())</f>
        <v>#N/A</v>
      </c>
      <c r="B122" s="6" t="e">
        <f t="shared" ref="B122:N122" si="36">IF(ISNA(B76),NA(),IF(AND($A122&gt;=CHOOSE(N($A$40&gt;=$A$80)+1,B$80,B$40),$A122&lt;=CHOOSE(N($A$40&gt;=$A$80)+1,B$81,B$41)),B76,NA()))</f>
        <v>#N/A</v>
      </c>
      <c r="C122" s="6" t="e">
        <f t="shared" si="36"/>
        <v>#N/A</v>
      </c>
      <c r="D122" s="6" t="e">
        <f t="shared" si="36"/>
        <v>#N/A</v>
      </c>
      <c r="E122" s="6" t="e">
        <f t="shared" si="36"/>
        <v>#N/A</v>
      </c>
      <c r="F122" s="6" t="e">
        <f t="shared" si="36"/>
        <v>#N/A</v>
      </c>
      <c r="G122" s="6" t="e">
        <f t="shared" si="36"/>
        <v>#N/A</v>
      </c>
      <c r="H122" s="6" t="e">
        <f t="shared" si="36"/>
        <v>#N/A</v>
      </c>
      <c r="I122" s="6" t="e">
        <f t="shared" si="36"/>
        <v>#N/A</v>
      </c>
      <c r="J122" s="6" t="e">
        <f t="shared" si="36"/>
        <v>#N/A</v>
      </c>
      <c r="K122" s="6" t="e">
        <f t="shared" si="36"/>
        <v>#N/A</v>
      </c>
      <c r="L122" s="6" t="e">
        <f t="shared" si="36"/>
        <v>#N/A</v>
      </c>
      <c r="M122" s="6" t="e">
        <f t="shared" si="36"/>
        <v>#N/A</v>
      </c>
      <c r="N122" s="6" t="e">
        <f t="shared" si="36"/>
        <v>#N/A</v>
      </c>
    </row>
    <row r="123" spans="1:14" x14ac:dyDescent="0.4">
      <c r="A123" s="5" t="e">
        <f>IF(AND(COUNTIF(CHOOSE(N($A$40&gt;=$A$80)+1,$B$80:$N$80,$B$40:$N$40),"&lt;="&amp;80)&gt;0,COUNTIF(CHOOSE(N($A$40&gt;=$A$80)+1,$B$81:$N$81,$B$41:$N$41),"&gt;="&amp;80)&gt;0),80,NA())</f>
        <v>#N/A</v>
      </c>
      <c r="B123" s="6" t="e">
        <f t="shared" ref="B123:N123" si="37">IF(ISNA(B77),NA(),IF(AND($A123&gt;=CHOOSE(N($A$40&gt;=$A$80)+1,B$80,B$40),$A123&lt;=CHOOSE(N($A$40&gt;=$A$80)+1,B$81,B$41)),B77,NA()))</f>
        <v>#N/A</v>
      </c>
      <c r="C123" s="6" t="e">
        <f t="shared" si="37"/>
        <v>#N/A</v>
      </c>
      <c r="D123" s="6" t="e">
        <f t="shared" si="37"/>
        <v>#N/A</v>
      </c>
      <c r="E123" s="6" t="e">
        <f t="shared" si="37"/>
        <v>#N/A</v>
      </c>
      <c r="F123" s="6" t="e">
        <f t="shared" si="37"/>
        <v>#N/A</v>
      </c>
      <c r="G123" s="6" t="e">
        <f t="shared" si="37"/>
        <v>#N/A</v>
      </c>
      <c r="H123" s="6" t="e">
        <f t="shared" si="37"/>
        <v>#N/A</v>
      </c>
      <c r="I123" s="6" t="e">
        <f t="shared" si="37"/>
        <v>#N/A</v>
      </c>
      <c r="J123" s="6" t="e">
        <f t="shared" si="37"/>
        <v>#N/A</v>
      </c>
      <c r="K123" s="6" t="e">
        <f t="shared" si="37"/>
        <v>#N/A</v>
      </c>
      <c r="L123" s="6" t="e">
        <f t="shared" si="37"/>
        <v>#N/A</v>
      </c>
      <c r="M123" s="6" t="e">
        <f t="shared" si="37"/>
        <v>#N/A</v>
      </c>
      <c r="N123" s="6" t="e">
        <f t="shared" si="37"/>
        <v>#N/A</v>
      </c>
    </row>
    <row r="124" spans="1:14" x14ac:dyDescent="0.4">
      <c r="A124" s="5" t="e">
        <f>IF(AND(COUNTIF(CHOOSE(N($A$40&gt;=$A$80)+1,$B$80:$N$80,$B$40:$N$40),"&lt;="&amp;85)&gt;0,COUNTIF(CHOOSE(N($A$40&gt;=$A$80)+1,$B$81:$N$81,$B$41:$N$41),"&gt;="&amp;85)&gt;0),85,NA())</f>
        <v>#N/A</v>
      </c>
      <c r="B124" s="6" t="e">
        <f t="shared" ref="B124:N124" si="38">IF(ISNA(B78),NA(),IF(AND($A124&gt;=CHOOSE(N($A$40&gt;=$A$80)+1,B$80,B$40),$A124&lt;=CHOOSE(N($A$40&gt;=$A$80)+1,B$81,B$41)),B78,NA()))</f>
        <v>#N/A</v>
      </c>
      <c r="C124" s="6" t="e">
        <f t="shared" si="38"/>
        <v>#N/A</v>
      </c>
      <c r="D124" s="6" t="e">
        <f t="shared" si="38"/>
        <v>#N/A</v>
      </c>
      <c r="E124" s="6" t="e">
        <f t="shared" si="38"/>
        <v>#N/A</v>
      </c>
      <c r="F124" s="6" t="e">
        <f t="shared" si="38"/>
        <v>#N/A</v>
      </c>
      <c r="G124" s="6" t="e">
        <f t="shared" si="38"/>
        <v>#N/A</v>
      </c>
      <c r="H124" s="6" t="e">
        <f t="shared" si="38"/>
        <v>#N/A</v>
      </c>
      <c r="I124" s="6" t="e">
        <f t="shared" si="38"/>
        <v>#N/A</v>
      </c>
      <c r="J124" s="6" t="e">
        <f t="shared" si="38"/>
        <v>#N/A</v>
      </c>
      <c r="K124" s="6" t="e">
        <f t="shared" si="38"/>
        <v>#N/A</v>
      </c>
      <c r="L124" s="6" t="e">
        <f t="shared" si="38"/>
        <v>#N/A</v>
      </c>
      <c r="M124" s="6" t="e">
        <f t="shared" si="38"/>
        <v>#N/A</v>
      </c>
      <c r="N124" s="6" t="e">
        <f t="shared" si="38"/>
        <v>#N/A</v>
      </c>
    </row>
    <row r="125" spans="1:14" x14ac:dyDescent="0.4">
      <c r="A125" s="5" t="e">
        <f>IF(AND(COUNTIF(CHOOSE(N($A$40&gt;=$A$80)+1,$B$80:$N$80,$B$40:$N$40),"&lt;="&amp;90)&gt;0,COUNTIF(CHOOSE(N($A$40&gt;=$A$80)+1,$B$81:$N$81,$B$41:$N$41),"&gt;="&amp;90)&gt;0),90,NA())</f>
        <v>#N/A</v>
      </c>
      <c r="B125" s="6" t="e">
        <f t="shared" ref="B125:N125" si="39">IF(ISNA(B79),NA(),IF(AND($A125&gt;=CHOOSE(N($A$40&gt;=$A$80)+1,B$80,B$40),$A125&lt;=CHOOSE(N($A$40&gt;=$A$80)+1,B$81,B$41)),B79,NA()))</f>
        <v>#N/A</v>
      </c>
      <c r="C125" s="6" t="e">
        <f t="shared" si="39"/>
        <v>#N/A</v>
      </c>
      <c r="D125" s="6" t="e">
        <f t="shared" si="39"/>
        <v>#N/A</v>
      </c>
      <c r="E125" s="6" t="e">
        <f t="shared" si="39"/>
        <v>#N/A</v>
      </c>
      <c r="F125" s="6" t="e">
        <f t="shared" si="39"/>
        <v>#N/A</v>
      </c>
      <c r="G125" s="6" t="e">
        <f t="shared" si="39"/>
        <v>#N/A</v>
      </c>
      <c r="H125" s="6" t="e">
        <f t="shared" si="39"/>
        <v>#N/A</v>
      </c>
      <c r="I125" s="6" t="e">
        <f t="shared" si="39"/>
        <v>#N/A</v>
      </c>
      <c r="J125" s="6" t="e">
        <f t="shared" si="39"/>
        <v>#N/A</v>
      </c>
      <c r="K125" s="6" t="e">
        <f t="shared" si="39"/>
        <v>#N/A</v>
      </c>
      <c r="L125" s="6" t="e">
        <f t="shared" si="39"/>
        <v>#N/A</v>
      </c>
      <c r="M125" s="6" t="e">
        <f t="shared" si="39"/>
        <v>#N/A</v>
      </c>
      <c r="N125" s="6" t="e">
        <f t="shared" si="39"/>
        <v>#N/A</v>
      </c>
    </row>
  </sheetData>
  <phoneticPr fontId="1"/>
  <conditionalFormatting sqref="A3:A39">
    <cfRule type="expression" dxfId="26" priority="5">
      <formula>A3&lt;&gt;5*(QUOTIENT(ROW(),2)-1)*(-1)^ROW()</formula>
    </cfRule>
  </conditionalFormatting>
  <conditionalFormatting sqref="A40">
    <cfRule type="expression" dxfId="25" priority="19" stopIfTrue="1">
      <formula>A40&gt;=A80</formula>
    </cfRule>
  </conditionalFormatting>
  <conditionalFormatting sqref="A43:A79">
    <cfRule type="expression" dxfId="24" priority="6">
      <formula>NOT(OR(AND($A$43=-90,A44-A43=5), AND($A$79=90,A43-A42=5)))</formula>
    </cfRule>
  </conditionalFormatting>
  <conditionalFormatting sqref="A80">
    <cfRule type="expression" dxfId="23" priority="18" stopIfTrue="1">
      <formula>A40&lt;A80</formula>
    </cfRule>
  </conditionalFormatting>
  <conditionalFormatting sqref="A89:A125">
    <cfRule type="expression" dxfId="22" priority="1">
      <formula>ROW(IF(AND(COUNTIF(CHOOSE(N($A$40&gt;=$A$80),$B$80:$N$80,$B$40:$N$40),"&lt;="&amp;(ROW()-107)*5)&gt;0,COUNTIF(CHOOSE(N($A$40&gt;=$A$80),$B$81:$N$81,$B$41:$N$41),"&gt;="&amp;(ROW()-107)*5)&gt;0),-90,ISNA(A89)))</formula>
    </cfRule>
    <cfRule type="expression" dxfId="21" priority="20" stopIfTrue="1">
      <formula>ISNA(A89)</formula>
    </cfRule>
  </conditionalFormatting>
  <conditionalFormatting sqref="B40:N40">
    <cfRule type="expression" dxfId="20" priority="9">
      <formula>NOT(AND(-90&lt;=B40,B40&lt;90))</formula>
    </cfRule>
  </conditionalFormatting>
  <conditionalFormatting sqref="B40:N41">
    <cfRule type="expression" dxfId="19" priority="8">
      <formula>$A$40&lt;$A$80</formula>
    </cfRule>
    <cfRule type="expression" dxfId="18" priority="11">
      <formula>AND(NOT(ISBLANK(B40)),B$40&gt;=B$41)</formula>
    </cfRule>
    <cfRule type="expression" dxfId="17" priority="12">
      <formula>$A$40&gt;=$A$80</formula>
    </cfRule>
  </conditionalFormatting>
  <conditionalFormatting sqref="B41:N41">
    <cfRule type="expression" dxfId="16" priority="10">
      <formula>NOT(AND(-90&lt;B41,B41&lt;=90))</formula>
    </cfRule>
  </conditionalFormatting>
  <conditionalFormatting sqref="B42:N42">
    <cfRule type="expression" dxfId="15" priority="24">
      <formula>ISNA(B42)</formula>
    </cfRule>
  </conditionalFormatting>
  <conditionalFormatting sqref="B43:N79">
    <cfRule type="expression" dxfId="14" priority="21">
      <formula>NOT(_xlfn.LET(_xlpm.v,INDEX(B$3:B$39,MATCH($A43,$A$3:$A$39,0)),IF(ISBLANK(_xlpm.v),ISNA(B43),B43=_xlpm.v)))</formula>
    </cfRule>
    <cfRule type="expression" dxfId="13" priority="22" stopIfTrue="1">
      <formula>ISNA(B43)</formula>
    </cfRule>
    <cfRule type="expression" dxfId="12" priority="23">
      <formula>AND(CHOOSE(N($A$40&gt;=$A$80)+1,B$80,B$40)&lt;=$A43,$A43&lt;=CHOOSE(N($A$40&gt;=$A$80)+1,B$81,B$41))</formula>
    </cfRule>
  </conditionalFormatting>
  <conditionalFormatting sqref="B80:N80">
    <cfRule type="expression" dxfId="11" priority="14">
      <formula>NOT(AND(-90&lt;=B80,B80&lt;90))</formula>
    </cfRule>
  </conditionalFormatting>
  <conditionalFormatting sqref="B80:N81">
    <cfRule type="expression" dxfId="10" priority="13" stopIfTrue="1">
      <formula>$A$40&gt;=$A$80</formula>
    </cfRule>
    <cfRule type="expression" dxfId="9" priority="16">
      <formula>AND(NOT(ISBLANK(B80)),B$80&gt;=B$81)</formula>
    </cfRule>
    <cfRule type="expression" dxfId="8" priority="17" stopIfTrue="1">
      <formula>$A$40&lt;$A$80</formula>
    </cfRule>
  </conditionalFormatting>
  <conditionalFormatting sqref="B81:N81">
    <cfRule type="expression" dxfId="7" priority="15">
      <formula>NOT(AND(-90&lt;B81,B81&lt;=90))</formula>
    </cfRule>
  </conditionalFormatting>
  <conditionalFormatting sqref="B82:N87">
    <cfRule type="expression" dxfId="6" priority="25">
      <formula>ISNA(B82)</formula>
    </cfRule>
  </conditionalFormatting>
  <conditionalFormatting sqref="B85:N85">
    <cfRule type="expression" dxfId="5" priority="4">
      <formula>NOT(IF(AND(ISBLANK(CHOOSE(N($A$40&gt;=$A$80)+1,B$80,B$40)),ISBLANK(CHOOSE(N($A$40&gt;=$A$80)+1,B$81,B$41))),ISNA(B85),B85=(-B83)/(2*B82)))</formula>
    </cfRule>
  </conditionalFormatting>
  <conditionalFormatting sqref="B86:N86">
    <cfRule type="expression" dxfId="4" priority="3">
      <formula>NOT(IF(AND(ISBLANK(CHOOSE(N($A$40&gt;=$A$80)+1,B$80,B$40)),ISBLANK(CHOOSE(N($A$40&gt;=$A$80)+1,B$81,B$41))),ISNA(B86),B86=B82*B85^2+B83*B85+B84))</formula>
    </cfRule>
  </conditionalFormatting>
  <conditionalFormatting sqref="B87:N87">
    <cfRule type="expression" dxfId="3" priority="2">
      <formula>NOT(IF(AND(ISBLANK(CHOOSE(N($A$40&gt;=$A$80)+1,B$80,B$40)),ISBLANK(CHOOSE(N($A$40&gt;=$A$80)+1,B$81,B$41))),ISNA(B87),_xlfn.LET(_xlpm.a,INDIRECT("A"&amp;MATCH(CHOOSE(N($A$40&gt;=$A$80)+1,B$80,B$40),$A$43:$A$79,0)+ROW(B43)-1&amp;":A"&amp;MATCH(CHOOSE(N($A$40&gt;=$A$80)+1,B$81,B$41),$A$43:$A$79,0)+ROW(B43)-1),_xlpm.b,INDIRECT(ADDRESS(MATCH(CHOOSE(N($A$40&gt;=$A$80)+1,B$80,B$40),$A$43:$A$79,0)+ROW(B43)-1,COLUMN())&amp;":"&amp;ADDRESS(MATCH(CHOOSE(N($A$40&gt;=$A$80)+1,B$81,B$41),$A$43:$A$79,0)+ROW(B43)-1,COLUMN())),B87=1-SUM((B82*_xlpm.a^2+B83*_xlpm.a+B84-_xlpm.b)^2)/SUM((_xlpm.b-AVERAGE(_xlpm.b))^2))))</formula>
    </cfRule>
  </conditionalFormatting>
  <conditionalFormatting sqref="B89:N125">
    <cfRule type="expression" dxfId="2" priority="7">
      <formula>NOT(IF(OR(ISNA($A89),ISNA(B43)),ISNA(B89),IF(AND($A89&gt;=CHOOSE(N($A$40&gt;=$A$80)+1,B$80,B$40),$A89&lt;=CHOOSE(N($A$40&gt;=$A$80)+1,B$81,B$41)),B89=B43,ISNA(B89))))</formula>
    </cfRule>
    <cfRule type="expression" dxfId="1" priority="26">
      <formula>ISNA(B89)</formula>
    </cfRule>
  </conditionalFormatting>
  <dataValidations count="1">
    <dataValidation allowBlank="1" showInputMessage="1" showErrorMessage="1" sqref="B89:N125" xr:uid="{BF1A5325-07A0-46E5-B647-45C635FA4FAB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26BA-4A41-4432-B459-CFA284BCDFA5}">
  <dimension ref="A1:N45"/>
  <sheetViews>
    <sheetView zoomScale="70" zoomScaleNormal="70" workbookViewId="0">
      <selection activeCell="S37" sqref="S37"/>
    </sheetView>
  </sheetViews>
  <sheetFormatPr defaultRowHeight="18.75" x14ac:dyDescent="0.4"/>
  <cols>
    <col min="15" max="15" width="10.625" bestFit="1" customWidth="1"/>
    <col min="20" max="20" width="12.125" bestFit="1" customWidth="1"/>
  </cols>
  <sheetData>
    <row r="1" spans="1:14" x14ac:dyDescent="0.4">
      <c r="A1" s="1"/>
      <c r="B1" s="2">
        <v>0</v>
      </c>
      <c r="C1" s="2" t="str">
        <f>IF(ISBLANK(C2),"",B1+HOUR(C2-B2)*60+MINUTE((C2-B2)))</f>
        <v/>
      </c>
      <c r="D1" s="2" t="str">
        <f t="shared" ref="D1:N1" si="0">IF(ISBLANK(D2),"",C1+HOUR(D2-C2)*60+MINUTE((D2-C2)))</f>
        <v/>
      </c>
      <c r="E1" s="2" t="str">
        <f t="shared" si="0"/>
        <v/>
      </c>
      <c r="F1" s="2" t="str">
        <f t="shared" si="0"/>
        <v/>
      </c>
      <c r="G1" s="2" t="str">
        <f t="shared" si="0"/>
        <v/>
      </c>
      <c r="H1" s="2" t="str">
        <f t="shared" si="0"/>
        <v/>
      </c>
      <c r="I1" s="2" t="str">
        <f t="shared" si="0"/>
        <v/>
      </c>
      <c r="J1" s="2" t="str">
        <f t="shared" si="0"/>
        <v/>
      </c>
      <c r="K1" s="2" t="str">
        <f t="shared" si="0"/>
        <v/>
      </c>
      <c r="L1" s="2" t="str">
        <f t="shared" si="0"/>
        <v/>
      </c>
      <c r="M1" s="2" t="str">
        <f t="shared" si="0"/>
        <v/>
      </c>
      <c r="N1" s="2" t="str">
        <f t="shared" si="0"/>
        <v/>
      </c>
    </row>
    <row r="2" spans="1:14" x14ac:dyDescent="0.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4">
      <c r="A3" s="5">
        <v>0</v>
      </c>
      <c r="B3" s="6">
        <v>1239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4">
      <c r="A4" s="5">
        <v>5</v>
      </c>
      <c r="B4" s="6">
        <v>1374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4">
      <c r="A5" s="5">
        <v>-5</v>
      </c>
      <c r="B5" s="6">
        <v>1169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4">
      <c r="A6" s="5">
        <v>10</v>
      </c>
      <c r="B6" s="6">
        <v>1552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4">
      <c r="A7" s="5">
        <v>-10</v>
      </c>
      <c r="B7" s="6">
        <v>1157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4">
      <c r="A8" s="5">
        <v>15</v>
      </c>
      <c r="B8" s="6">
        <v>1800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4">
      <c r="A9" s="5">
        <v>-15</v>
      </c>
      <c r="B9" s="6">
        <v>1205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4">
      <c r="A10" s="5">
        <v>20</v>
      </c>
      <c r="B10" s="6">
        <v>2056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4">
      <c r="A11" s="5">
        <v>-20</v>
      </c>
      <c r="B11" s="6">
        <v>1307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4">
      <c r="A12" s="5">
        <v>25</v>
      </c>
      <c r="B12" s="6">
        <v>2341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4">
      <c r="A13" s="5">
        <v>-25</v>
      </c>
      <c r="B13" s="6">
        <v>1474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4">
      <c r="A14" s="5">
        <v>30</v>
      </c>
      <c r="B14" s="6">
        <v>2672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4">
      <c r="A15" s="5">
        <v>-30</v>
      </c>
      <c r="B15" s="6">
        <v>1658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4">
      <c r="A16" s="5">
        <v>35</v>
      </c>
      <c r="B16" s="6">
        <v>3005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4">
      <c r="A17" s="5">
        <v>-35</v>
      </c>
      <c r="B17" s="6">
        <v>1902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4">
      <c r="A18" s="5">
        <v>40</v>
      </c>
      <c r="B18" s="6">
        <v>3361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4">
      <c r="A19" s="5">
        <v>-40</v>
      </c>
      <c r="B19" s="6">
        <v>2189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4">
      <c r="A20" s="5">
        <v>45</v>
      </c>
      <c r="B20" s="6">
        <v>3634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4">
      <c r="A21" s="5">
        <v>-45</v>
      </c>
      <c r="B21" s="6">
        <v>2500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4">
      <c r="A22" s="5">
        <v>50</v>
      </c>
      <c r="B22" s="6">
        <v>3970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4">
      <c r="A23" s="5">
        <v>-50</v>
      </c>
      <c r="B23" s="6">
        <v>2807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4">
      <c r="A24" s="5">
        <v>55</v>
      </c>
      <c r="B24" s="6">
        <v>431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4">
      <c r="A25" s="5">
        <v>-55</v>
      </c>
      <c r="B25" s="6">
        <v>3108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4">
      <c r="A26" s="5">
        <v>60</v>
      </c>
      <c r="B26" s="6">
        <v>456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4">
      <c r="A27" s="5">
        <v>-60</v>
      </c>
      <c r="B27" s="6">
        <v>3428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4">
      <c r="A28" s="5">
        <v>65</v>
      </c>
      <c r="B28" s="6">
        <v>474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4">
      <c r="A29" s="5">
        <v>-65</v>
      </c>
      <c r="B29" s="6">
        <v>373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4">
      <c r="A30" s="5">
        <v>70</v>
      </c>
      <c r="B30" s="6">
        <v>489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4">
      <c r="A31" s="5">
        <v>-70</v>
      </c>
      <c r="B31" s="6">
        <v>401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4">
      <c r="A32" s="5">
        <v>75</v>
      </c>
      <c r="B32" s="6">
        <v>500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4">
      <c r="A33" s="5">
        <v>-75</v>
      </c>
      <c r="B33" s="6">
        <v>421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4">
      <c r="A34" s="5">
        <v>80</v>
      </c>
      <c r="B34" s="6">
        <v>504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4">
      <c r="A35" s="5">
        <v>-80</v>
      </c>
      <c r="B35" s="6">
        <v>446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4">
      <c r="A36" s="5">
        <v>85</v>
      </c>
      <c r="B36" s="6">
        <v>505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4">
      <c r="A37" s="5">
        <v>-85</v>
      </c>
      <c r="B37" s="6">
        <v>459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4">
      <c r="A38" s="5">
        <v>90</v>
      </c>
      <c r="B38" s="6">
        <v>495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4">
      <c r="A39" s="5">
        <v>-90</v>
      </c>
      <c r="B39" s="6">
        <v>475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1" spans="1:14" x14ac:dyDescent="0.4">
      <c r="A41" s="5" t="s">
        <v>0</v>
      </c>
      <c r="B41" s="6">
        <f t="shared" ref="B41:N41" si="1">((($A12^2+$A10^2+$A8^2+$A6^2+$A4^2+$A3^2+$A5^2+$A7^2+$A9^2+$A11^2+$A13^2)*($A12^0+$A10^0+$A8^0+$A6^0+$A4^0+1+$A5^0+$A7^0+$A9^0+$A11^0+$A13^0)-($A12+$A10+$A8+$A6+$A4+$A3+$A5+$A7+$A9+$A11+$A13)*($A12+$A10+$A8+$A6+$A4+$A3+$A5+$A7+$A9+$A11+$A13))*($A12^2*B12+$A10^2*B10+$A8^2*B8+$A6^2*B6+$A4^2*B4+$A3^2*B3+$A5^2*B5+$A7^2*B7+$A9^2*B9+$A11^2*B11+$A13^2*B13)+(($A12^2+$A10^2+$A8^2+$A6^2+$A4^2+$A3^2+$A5^2+$A7^2+$A9^2+$A11^2+$A13^2)*($A12+$A10+$A8+$A6+$A4+$A3+$A5+$A7+$A9+$A11+$A13)-($A12^3+$A10^3+$A8^3+$A6^3+$A4^3+$A3^3+$A5^3+$A7^3+$A9^3+$A11^3+$A13^3)*($A12^0+$A10^0+$A8^0+$A6^0+$A4^0+1+$A5^0+$A7^0+$A9^0+$A11^0+$A13^0))*($A12*B12+$A10*B10+$A8*B8+$A6*B6+$A4*B4+$A3*B3+$A5*B5+$A7*B7+$A9*B9+$A11*B11+$A13*B13)+(($A12^3+$A10^3+$A8^3+$A6^3+$A4^3+$A3^3+$A5^3+$A7^3+$A9^3+$A11^3+$A13^3)*($A12+$A10+$A8+$A6+$A4+$A3+$A5+$A7+$A9+$A11+$A13)-($A12^2+$A10^2+$A8^2+$A6^2+$A4^2+$A3^2+$A5^2+$A7^2+$A9^2+$A11^2+$A13^2)*($A12^2+$A10^2+$A8^2+$A6^2+$A4^2+$A3^2+$A5^2+$A7^2+$A9^2+$A11^2+$A13^2))*(B12+B10+B8+B6+B4+B3+B5+B7+B9+B11+B13))/(($A12^4+$A10^4+$A8^4+$A6^4+$A4^4+$A3^4+$A5^4+$A7^4+$A9^4+$A11^4+$A13^4)*($A12^2+$A10^2+$A8^2+$A6^2+$A4^2+$A3^2+$A5^2+$A7^2+$A9^2+$A11^2+$A13^2)*($A12^0+$A10^0+$A8^0+$A6^0+$A4^0+1+$A5^0+$A7^0+$A9^0+$A11^0+$A13^0)+($A12^3+$A10^3+$A8^3+$A6^3+$A4^3+$A3^3+$A5^3+$A7^3+$A9^3+$A11^3+$A13^3)*($A12+$A10+$A8+$A6+$A4+$A3+$A5+$A7+$A9+$A11+$A13)*($A12^2+$A10^2+$A8^2+$A6^2+$A4^2+$A3^2+$A5^2+$A7^2+$A9^2+$A11^2+$A13^2)+($A12^2+$A10^2+$A8^2+$A6^2+$A4^2+$A3^2+$A5^2+$A7^2+$A9^2+$A11^2+$A13^2)*($A12^3+$A10^3+$A8^3+$A6^3+$A4^3+$A3^3+$A5^3+$A7^3+$A9^3+$A11^3+$A13^3)*($A12+$A10+$A8+$A6+$A4+$A3+$A5+$A7+$A9+$A11+$A13)-($A12^2+$A10^2+$A8^2+$A6^2+$A4^2+$A3^2+$A5^2+$A7^2+$A9^2+$A11^2+$A13^2)*($A12^2+$A10^2+$A8^2+$A6^2+$A4^2+$A3^2+$A5^2+$A7^2+$A9^2+$A11^2+$A13^2)*($A12^2+$A10^2+$A8^2+$A6^2+$A4^2+$A3^2+$A5^2+$A7^2+$A9^2+$A11^2+$A13^2)-($A12^4+$A10^4+$A8^4+$A6^4+$A4^4+$A3^4+$A5^4+$A7^4+$A9^4+$A11^4+$A13^4)*($A12+$A10+$A8+$A6+$A4+$A3+$A5+$A7+$A9+$A11+$A13)*($A12+$A10+$A8+$A6+$A4+$A3+$A5+$A7+$A9+$A11+$A13)-($A12^3+$A10^3+$A8^3+$A6^3+$A4^3+$A3^3+$A5^3+$A7^3+$A9^3+$A11^3+$A13^3)*($A12^3+$A10^3+$A8^3+$A6^3+$A4^3+$A3^3+$A5^3+$A7^3+$A9^3+$A11^3+$A13^3)*($A12^0+$A10^0+$A8^0+$A6^0+$A4^0+1+$A5^0+$A7^0+$A9^0+$A11^0+$A13^0))</f>
        <v>1.0660606060606062</v>
      </c>
      <c r="C41" s="6">
        <f t="shared" si="1"/>
        <v>0</v>
      </c>
      <c r="D41" s="6">
        <f t="shared" si="1"/>
        <v>0</v>
      </c>
      <c r="E41" s="6">
        <f t="shared" si="1"/>
        <v>0</v>
      </c>
      <c r="F41" s="6">
        <f t="shared" si="1"/>
        <v>0</v>
      </c>
      <c r="G41" s="6">
        <f t="shared" si="1"/>
        <v>0</v>
      </c>
      <c r="H41" s="6">
        <f t="shared" si="1"/>
        <v>0</v>
      </c>
      <c r="I41" s="6">
        <f t="shared" si="1"/>
        <v>0</v>
      </c>
      <c r="J41" s="6">
        <f t="shared" si="1"/>
        <v>0</v>
      </c>
      <c r="K41" s="6">
        <f t="shared" si="1"/>
        <v>0</v>
      </c>
      <c r="L41" s="6">
        <f t="shared" si="1"/>
        <v>0</v>
      </c>
      <c r="M41" s="6">
        <f t="shared" si="1"/>
        <v>0</v>
      </c>
      <c r="N41" s="6">
        <f t="shared" si="1"/>
        <v>0</v>
      </c>
    </row>
    <row r="42" spans="1:14" x14ac:dyDescent="0.4">
      <c r="A42" s="5" t="s">
        <v>1</v>
      </c>
      <c r="B42" s="6">
        <f t="shared" ref="B42:N42" si="2">((($A12+$A10+$A8+$A6+$A4+$A3+$A5+$A7+$A9+$A11+$A13)*($A12^2+$A10^2+$A8^2+$A6^2+$A4^2+$A3^2+$A5^2+$A7^2+$A9^2+$A11^2+$A13^2)*($A12^3+$A10^3+$A8^3+$A6^3+$A4^3+$A3^3+$A5^3+$A7^3+$A9^3+$A11^3+$A13^3)*($A12^0+$A10^0+$A8^0+$A6^0+$A4^0+1+$A5^0+$A7^0+$A9^0+$A11^0+$A13^0))*($A12^2*B12+$A10^2*B10+$A8^2*B8+$A6^2*B6+$A4^2*B4+$A3^2*B3+$A5^2*B5+$A7^2*B7+$A9^2*B9+$A11^2*B11+$A13^2*B13)+(($A12^4+$A10^4+$A8^4+$A6^4+$A4^4+$A3^4+$A5^4+$A7^4+$A9^4+$A11^4+$A13^4)*($A12^0+$A10^0+$A8^0+$A6^0+$A4^0+1+$A5^0+$A7^0+$A9^0+$A11^0+$A13^0)-($A12^2+$A10^2+$A8^2+$A6^2+$A4^2+$A3^2+$A5^2+$A7^2+$A9^2+$A11^2+$A13^2)*($A12^2+$A10^2+$A8^2+$A6^2+$A4^2+$A3^2+$A5^2+$A7^2+$A9^2+$A11^2+$A13^2))*($A12*B12+$A10*B10+$A8*B8+$A6*B6+$A4*B4+$A3*B3+$A5*B5+$A7*B7+$A9*B9+$A11*B11+$A13*B13)+(($A12^2+$A10^2+$A8^2+$A6^2+$A4^2+$A3^2+$A5^2+$A7^2+$A9^2+$A11^2+$A13^2)*($A12^3+$A10^3+$A8^3+$A6^3+$A4^3+$A3^3+$A5^3+$A7^3+$A9^3+$A11^3+$A13^3)-($A12^4+$A10^4+$A8^4+$A6^4+$A4^4+$A3^4+$A5^4+$A7^4+$A9^4+$A11^4+$A13^4)*($A12+$A10+$A8+$A6+$A4+$A3+$A5+$A7+$A9+$A11+$A13))*(B12+B10+B8+B6+B4+B3+B5+B7+B9+B11+B13))/(($A12^4+$A10^4+$A8^4+$A6^4+$A4^4+$A3^4+$A5^4+$A7^4+$A9^4+$A11^4+$A13^4)*($A12^2+$A10^2+$A8^2+$A6^2+$A4^2+$A3^2+$A5^2+$A7^2+$A9^2+$A11^2+$A13^2)*($A12^0+$A10^0+$A8^0+$A6^0+$A4^0+1+$A5^0+$A7^0+$A9^0+$A11^0+$A13^0)+($A12^3+$A10^3+$A8^3+$A6^3+$A4^3+$A3^3+$A5^3+$A7^3+$A9^3+$A11^3+$A13^3)*($A12+$A10+$A8+$A6+$A4+$A3+$A5+$A7+$A9+$A11+$A13)*($A12^2+$A10^2+$A8^2+$A6^2+$A4^2+$A3^2+$A5^2+$A7^2+$A9^2+$A11^2+$A13^2)+($A12^2+$A10^2+$A8^2+$A6^2+$A4^2+$A3^2+$A5^2+$A7^2+$A9^2+$A11^2+$A13^2)*($A12^3+$A10^3+$A8^3+$A6^3+$A4^3+$A3^3+$A5^3+$A7^3+$A9^3+$A11^3+$A13^3)*($A12+$A10+$A8+$A6+$A4+$A3+$A5+$A7+$A9+$A11+$A13)-($A12^2+$A10^2+$A8^2+$A6^2+$A4^2+$A3^2+$A5^2+$A7^2+$A9^2+$A11^2+$A13^2)*($A12^2+$A10^2+$A8^2+$A6^2+$A4^2+$A3^2+$A5^2+$A7^2+$A9^2+$A11^2+$A13^2)*($A12^2+$A10^2+$A8^2+$A6^2+$A4^2+$A3^2+$A5^2+$A7^2+$A9^2+$A11^2+$A13^2)-($A12^4+$A10^4+$A8^4+$A6^4+$A4^4+$A3^4+$A5^4+$A7^4+$A9^4+$A11^4+$A13^4)*($A12+$A10+$A8+$A6+$A4+$A3+$A5+$A7+$A9+$A11+$A13)*($A12+$A10+$A8+$A6+$A4+$A3+$A5+$A7+$A9+$A11+$A13)-($A12^3+$A10^3+$A8^3+$A6^3+$A4^3+$A3^3+$A5^3+$A7^3+$A9^3+$A11^3+$A13^3)*($A12^3+$A10^3+$A8^3+$A6^3+$A4^3+$A3^3+$A5^3+$A7^3+$A9^3+$A11^3+$A13^3)*($A12^0+$A10^0+$A8^0+$A6^0+$A4^0+1+$A5^0+$A7^0+$A9^0+$A11^0+$A13^0))</f>
        <v>18.383636363636363</v>
      </c>
      <c r="C42" s="6">
        <f t="shared" si="2"/>
        <v>0</v>
      </c>
      <c r="D42" s="6">
        <f t="shared" si="2"/>
        <v>0</v>
      </c>
      <c r="E42" s="6">
        <f t="shared" si="2"/>
        <v>0</v>
      </c>
      <c r="F42" s="6">
        <f t="shared" si="2"/>
        <v>0</v>
      </c>
      <c r="G42" s="6">
        <f t="shared" si="2"/>
        <v>0</v>
      </c>
      <c r="H42" s="6">
        <f t="shared" si="2"/>
        <v>0</v>
      </c>
      <c r="I42" s="6">
        <f t="shared" si="2"/>
        <v>0</v>
      </c>
      <c r="J42" s="6">
        <f t="shared" si="2"/>
        <v>0</v>
      </c>
      <c r="K42" s="6">
        <f t="shared" si="2"/>
        <v>0</v>
      </c>
      <c r="L42" s="6">
        <f t="shared" si="2"/>
        <v>0</v>
      </c>
      <c r="M42" s="6">
        <f t="shared" si="2"/>
        <v>0</v>
      </c>
      <c r="N42" s="6">
        <f t="shared" si="2"/>
        <v>0</v>
      </c>
    </row>
    <row r="43" spans="1:14" x14ac:dyDescent="0.4">
      <c r="A43" s="5" t="s">
        <v>2</v>
      </c>
      <c r="B43" s="6">
        <f t="shared" ref="B43:N43" si="3">((($A12^3+$A10^3+$A8^3+$A6^3+$A4^3+$A3^3+$A5^3+$A7^3+$A9^3+$A11^3+$A13^3)*($A12+$A10+$A8+$A6+$A4+$A3+$A5+$A7+$A9+$A11+$A13)-($A12^2+$A10^2+$A8^2+$A6^2+$A4^2+$A3^2+$A5^2+$A7^2+$A9^2+$A11^2+$A13^2)*($A12^2+$A10^2+$A8^2+$A6^2+$A4^2+$A3^2+$A5^2+$A7^2+$A9^2+$A11^2+$A13^2))*($A12^2*B12+$A10^2*B10+$A8^2*B8+$A6^2*B6+$A4^2*B4+$A3^2*B3+$A5^2*B5+$A7^2*B7+$A9^2*B9+$A11^2*B11+$A13^2*B13)+(($A12^3+$A10^3+$A8^3+$A6^3+$A4^3+$A3^3+$A5^3+$A7^3+$A9^3+$A11^3+$A13^3)*($A12^2+$A10^2+$A8^2+$A6^2+$A4^2+$A3^2+$A5^2+$A7^2+$A9^2+$A11^2+$A13^2)-($A12^4+$A10^4+$A8^4+$A6^4+$A4^4+$A3^4+$A5^4+$A7^4+$A9^4+$A11^4+$A13^4)*($A12+$A10+$A8+$A6+$A4+$A3+$A5+$A7+$A9+$A11+$A13))*($A12*B12+$A10*B10+$A8*B8+$A6*B6+$A4*B4+$A3*B3+$A5*B5+$A7*B7+$A9*B9+$A11*B11+$A13*B13)+(($A12^4+$A10^4+$A8^4+$A6^4+$A4^4+$A3^4+$A5^4+$A7^4+$A9^4+$A11^4+$A13^4)*($A12^2+$A10^2+$A8^2+$A6^2+$A4^2+$A3^2+$A5^2+$A7^2+$A9^2+$A11^2+$A13^2)-($A12^3+$A10^3+$A8^3+$A6^3+$A4^3+$A3^3+$A5^3+$A7^3+$A9^3+$A11^3+$A13^3)*($A12^3+$A10^3+$A8^3+$A6^3+$A4^3+$A3^3+$A5^3+$A7^3+$A9^3+$A11^3+$A13^3))*(B12+B10+B8+B6+B4+B3+B5+B7+B9+B11+B13))/(($A12^4+$A10^4+$A8^4+$A6^4+$A4^4+$A3^4+$A5^4+$A7^4+$A9^4+$A11^4+$A13^4)*($A12^2+$A10^2+$A8^2+$A6^2+$A4^2+$A3^2+$A5^2+$A7^2+$A9^2+$A11^2+$A13^2)*($A12^0+$A10^0+$A8^0+$A6^0+$A4^0+1+$A5^0+$A7^0+$A9^0+$A11^0+$A13^0)+($A12^3+$A10^3+$A8^3+$A6^3+$A4^3+$A3^3+$A5^3+$A7^3+$A9^3+$A11^3+$A13^3)*($A12+$A10+$A8+$A6+$A4+$A3+$A5+$A7+$A9+$A11+$A13)*($A12^2+$A10^2+$A8^2+$A6^2+$A4^2+$A3^2+$A5^2+$A7^2+$A9^2+$A11^2+$A13^2)+($A12^2+$A10^2+$A8^2+$A6^2+$A4^2+$A3^2+$A5^2+$A7^2+$A9^2+$A11^2+$A13^2)*($A12^3+$A10^3+$A8^3+$A6^3+$A4^3+$A3^3+$A5^3+$A7^3+$A9^3+$A11^3+$A13^3)*($A12+$A10+$A8+$A6+$A4+$A3+$A5+$A7+$A9+$A11+$A13)-($A12^2+$A10^2+$A8^2+$A6^2+$A4^2+$A3^2+$A5^2+$A7^2+$A9^2+$A11^2+$A13^2)*($A12^2+$A10^2+$A8^2+$A6^2+$A4^2+$A3^2+$A5^2+$A7^2+$A9^2+$A11^2+$A13^2)*($A12^2+$A10^2+$A8^2+$A6^2+$A4^2+$A3^2+$A5^2+$A7^2+$A9^2+$A11^2+$A13^2)-($A12^4+$A10^4+$A8^4+$A6^4+$A4^4+$A3^4+$A5^4+$A7^4+$A9^4+$A11^4+$A13^4)*($A12+$A10+$A8+$A6+$A4+$A3+$A5+$A7+$A9+$A11+$A13)*($A12+$A10+$A8+$A6+$A4+$A3+$A5+$A7+$A9+$A11+$A13)-($A12^3+$A10^3+$A8^3+$A6^3+$A4^3+$A3^3+$A5^3+$A7^3+$A9^3+$A11^3+$A13^3)*($A12^3+$A10^3+$A8^3+$A6^3+$A4^3+$A3^3+$A5^3+$A7^3+$A9^3+$A11^3+$A13^3)*($A12^0+$A10^0+$A8^0+$A6^0+$A4^0+1+$A5^0+$A7^0+$A9^0+$A11^0+$A13^0))</f>
        <v>1249.3030303030303</v>
      </c>
      <c r="C43" s="6">
        <f t="shared" si="3"/>
        <v>0</v>
      </c>
      <c r="D43" s="6">
        <f t="shared" si="3"/>
        <v>0</v>
      </c>
      <c r="E43" s="6">
        <f t="shared" si="3"/>
        <v>0</v>
      </c>
      <c r="F43" s="6">
        <f t="shared" si="3"/>
        <v>0</v>
      </c>
      <c r="G43" s="6">
        <f t="shared" si="3"/>
        <v>0</v>
      </c>
      <c r="H43" s="6">
        <f t="shared" si="3"/>
        <v>0</v>
      </c>
      <c r="I43" s="6">
        <f t="shared" si="3"/>
        <v>0</v>
      </c>
      <c r="J43" s="6">
        <f t="shared" si="3"/>
        <v>0</v>
      </c>
      <c r="K43" s="6">
        <f t="shared" si="3"/>
        <v>0</v>
      </c>
      <c r="L43" s="6">
        <f t="shared" si="3"/>
        <v>0</v>
      </c>
      <c r="M43" s="6">
        <f t="shared" si="3"/>
        <v>0</v>
      </c>
      <c r="N43" s="6">
        <f t="shared" si="3"/>
        <v>0</v>
      </c>
    </row>
    <row r="44" spans="1:14" x14ac:dyDescent="0.4">
      <c r="A44" s="5" t="s">
        <v>3</v>
      </c>
      <c r="B44" s="6">
        <f t="shared" ref="B44:I44" si="4">(-B42)/(2*B41)</f>
        <v>-8.6222285389425792</v>
      </c>
      <c r="C44" s="6" t="e">
        <f t="shared" si="4"/>
        <v>#DIV/0!</v>
      </c>
      <c r="D44" s="6" t="e">
        <f t="shared" si="4"/>
        <v>#DIV/0!</v>
      </c>
      <c r="E44" s="6" t="e">
        <f t="shared" si="4"/>
        <v>#DIV/0!</v>
      </c>
      <c r="F44" s="6" t="e">
        <f t="shared" si="4"/>
        <v>#DIV/0!</v>
      </c>
      <c r="G44" s="6" t="e">
        <f t="shared" si="4"/>
        <v>#DIV/0!</v>
      </c>
      <c r="H44" s="6" t="e">
        <f t="shared" si="4"/>
        <v>#DIV/0!</v>
      </c>
      <c r="I44" s="6" t="e">
        <f t="shared" si="4"/>
        <v>#DIV/0!</v>
      </c>
      <c r="J44" s="6" t="e">
        <f>(-J42)/(2*J41)</f>
        <v>#DIV/0!</v>
      </c>
      <c r="K44" s="6" t="e">
        <f>(-K42)/(2*K41)</f>
        <v>#DIV/0!</v>
      </c>
      <c r="L44" s="6" t="e">
        <f t="shared" ref="L44:N44" si="5">(-L42)/(2*L41)</f>
        <v>#DIV/0!</v>
      </c>
      <c r="M44" s="6" t="e">
        <f t="shared" si="5"/>
        <v>#DIV/0!</v>
      </c>
      <c r="N44" s="6" t="e">
        <f t="shared" si="5"/>
        <v>#DIV/0!</v>
      </c>
    </row>
    <row r="45" spans="1:14" x14ac:dyDescent="0.4">
      <c r="B45">
        <f t="shared" ref="B45:N45" si="6">B41*B44^2+B42*B44+B43</f>
        <v>1170.0490732509861</v>
      </c>
      <c r="C45" t="e">
        <f t="shared" si="6"/>
        <v>#DIV/0!</v>
      </c>
      <c r="D45" t="e">
        <f t="shared" si="6"/>
        <v>#DIV/0!</v>
      </c>
      <c r="E45" t="e">
        <f t="shared" si="6"/>
        <v>#DIV/0!</v>
      </c>
      <c r="F45" t="e">
        <f t="shared" si="6"/>
        <v>#DIV/0!</v>
      </c>
      <c r="G45" t="e">
        <f t="shared" si="6"/>
        <v>#DIV/0!</v>
      </c>
      <c r="H45" t="e">
        <f t="shared" si="6"/>
        <v>#DIV/0!</v>
      </c>
      <c r="I45" t="e">
        <f t="shared" si="6"/>
        <v>#DIV/0!</v>
      </c>
      <c r="J45" t="e">
        <f t="shared" si="6"/>
        <v>#DIV/0!</v>
      </c>
      <c r="K45" t="e">
        <f t="shared" si="6"/>
        <v>#DIV/0!</v>
      </c>
      <c r="L45" t="e">
        <f t="shared" si="6"/>
        <v>#DIV/0!</v>
      </c>
      <c r="M45" t="e">
        <f t="shared" si="6"/>
        <v>#DIV/0!</v>
      </c>
      <c r="N45" t="e">
        <f t="shared" si="6"/>
        <v>#DIV/0!</v>
      </c>
    </row>
  </sheetData>
  <phoneticPr fontId="1"/>
  <conditionalFormatting sqref="K19">
    <cfRule type="containsErrors" dxfId="0" priority="1">
      <formula>ISERROR(K19)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5A130BBF5D2A84B872AFCA14D21C06F" ma:contentTypeVersion="15" ma:contentTypeDescription="新しいドキュメントを作成します。" ma:contentTypeScope="" ma:versionID="949a711b27b3bc1ffffbf910a6ccca7b">
  <xsd:schema xmlns:xsd="http://www.w3.org/2001/XMLSchema" xmlns:xs="http://www.w3.org/2001/XMLSchema" xmlns:p="http://schemas.microsoft.com/office/2006/metadata/properties" xmlns:ns3="2128e9b3-248b-4fd7-8a46-158525177352" xmlns:ns4="60afc74e-60c0-4ade-a086-29d5585a96d6" targetNamespace="http://schemas.microsoft.com/office/2006/metadata/properties" ma:root="true" ma:fieldsID="c1080f8e5dcd2d49bf99a84b7d051e95" ns3:_="" ns4:_="">
    <xsd:import namespace="2128e9b3-248b-4fd7-8a46-158525177352"/>
    <xsd:import namespace="60afc74e-60c0-4ade-a086-29d5585a96d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8e9b3-248b-4fd7-8a46-15852517735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afc74e-60c0-4ade-a086-29d5585a96d6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afc74e-60c0-4ade-a086-29d5585a96d6" xsi:nil="true"/>
  </documentManagement>
</p:properties>
</file>

<file path=customXml/itemProps1.xml><?xml version="1.0" encoding="utf-8"?>
<ds:datastoreItem xmlns:ds="http://schemas.openxmlformats.org/officeDocument/2006/customXml" ds:itemID="{311C617B-64AA-4C3D-B34C-0ECBE226C4C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128e9b3-248b-4fd7-8a46-158525177352"/>
    <ds:schemaRef ds:uri="60afc74e-60c0-4ade-a086-29d5585a96d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89F45F-AF7D-43FE-B549-FA90D2F432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B85D27-99A2-4564-A148-04E5D3743677}">
  <ds:schemaRefs>
    <ds:schemaRef ds:uri="http://purl.org/dc/elements/1.1/"/>
    <ds:schemaRef ds:uri="http://schemas.microsoft.com/office/2006/metadata/properties"/>
    <ds:schemaRef ds:uri="2128e9b3-248b-4fd7-8a46-158525177352"/>
    <ds:schemaRef ds:uri="60afc74e-60c0-4ade-a086-29d5585a96d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temp</vt:lpstr>
      <vt:lpstr>0820</vt:lpstr>
      <vt:lpstr>0807</vt:lpstr>
      <vt:lpstr>0807培養試験管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ough2742森脇廉</dc:creator>
  <cp:keywords/>
  <dc:description/>
  <cp:lastModifiedBy>ough2742森脇廉</cp:lastModifiedBy>
  <cp:revision/>
  <dcterms:created xsi:type="dcterms:W3CDTF">2025-08-06T23:31:06Z</dcterms:created>
  <dcterms:modified xsi:type="dcterms:W3CDTF">2025-08-20T23:14:09Z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0x01010065A130BBF5D2A84B872AFCA14D21C06F</vt:lpwstr>
  </property>
</Properties>
</file>